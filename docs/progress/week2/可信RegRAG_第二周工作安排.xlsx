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2e0cfac74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任务总表" sheetId="1" r:id="R76ba0df7a6a24f89"/>
    <x:sheet xmlns:r="http://schemas.openxmlformats.org/officeDocument/2006/relationships" name="每日推进计划" sheetId="2" r:id="R03b10c53fb2d4826"/>
    <x:sheet xmlns:r="http://schemas.openxmlformats.org/officeDocument/2006/relationships" name="周验收清单" sheetId="3" r:id="R784ef0a867a14e47"/>
    <x:sheet xmlns:r="http://schemas.openxmlformats.org/officeDocument/2006/relationships" name="Baseline实施矩阵" sheetId="4" r:id="Ra3486e16dcea4176"/>
  </x:sheets>
</x:workbook>
</file>

<file path=xl/sharedStrings.xml><?xml version="1.0" encoding="utf-8"?>
<x:sst xmlns:x="http://schemas.openxmlformats.org/spreadsheetml/2006/main">
  <x:si>
    <x:t xml:space="preserve">任务总数</x:t>
  </x:si>
  <x:si>
    <x:t xml:space="preserve">P0 任务</x:t>
  </x:si>
  <x:si>
    <x:t xml:space="preserve">已完成</x:t>
  </x:si>
  <x:si>
    <x:t xml:space="preserve">总体完成率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</x:si>
</x:sst>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200" formatCode="yyyy-mm-dd"/>
    <x:numFmt numFmtId="201" formatCode="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b/>
      <x:sz val="16"/>
      <x:color rgb="FF17365D"/>
      <x:name val="Carlito"/>
    </x:font>
    <x:font>
      <x:sz val="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sz val="11"/>
      <x:name val="Carlito"/>
    </x:font>
    <x:font>
      <x:sz val="9"/>
      <x:name val="宋体"/>
    </x:font>
    <x:font>
      <x:sz val="9"/>
      <x:name val="微软雅黑"/>
    </x:font>
    <x:font>
      <x:b/>
      <x:sz val="11"/>
      <x:color rgb="FF17365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C2D0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B8C2D0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B8C2D0"/>
      </x:bottom>
    </x:border>
    <x:border>
      <x:left style="thin">
        <x:color rgb="FFB8C2D0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8C2D0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B8C2D0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D9E2F3"/>
      </x:bottom>
    </x:border>
    <x:border>
      <x:left style="thin">
        <x:color rgb="FFB8C2D0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2D0"/>
      </x:bottom>
    </x:border>
    <x:border>
      <x:left style="thin">
        <x:color rgb="FFD9E2F3"/>
      </x:left>
      <x:right style="thin">
        <x:color rgb="FFB8C2D0"/>
      </x:right>
      <x:top style="thin">
        <x:color rgb="FFD9E2F3"/>
      </x:top>
      <x:bottom style="thin">
        <x:color rgb="FFB8C2D0"/>
      </x:bottom>
    </x:border>
  </x:borders>
  <x:cellStyleXfs count="2">
    <x:xf numFmtId="0" fontId="0" fillId="0" borderId="0"/>
    <x:xf numFmtId="0" fontId="9" fillId="0" borderId="0"/>
  </x:cellStyleXfs>
  <x:cellXfs count="167">
    <x:xf numFmtId="0" fontId="0" fillId="0" borderId="0" xfId="0"/>
    <x:xf numFmtId="0" fontId="3" fillId="5" borderId="1" xfId="1" applyFont="1" applyFill="1" applyBorder="1" applyAlignment="1">
      <x:alignment horizontal="center" vertical="center" wrapText="1"/>
    </x:xf>
    <x:xf numFmtId="0" fontId="3" fillId="5" borderId="2" xfId="1" applyFont="1" applyFill="1" applyBorder="1" applyAlignment="1">
      <x:alignment horizontal="center" vertical="center" wrapText="1"/>
    </x:xf>
    <x:xf numFmtId="0" fontId="3" fillId="5" borderId="3" xfId="1" applyFont="1" applyFill="1" applyBorder="1" applyAlignment="1">
      <x:alignment horizontal="center" vertical="center" wrapText="1"/>
    </x:xf>
    <x:xf numFmtId="0" fontId="5" fillId="0" borderId="8" xfId="1" applyFont="1" applyBorder="1" applyAlignment="1">
      <x:alignment vertical="center" wrapText="1"/>
    </x:xf>
    <x:xf numFmtId="0" fontId="5" fillId="0" borderId="9" xfId="1" applyFont="1" applyBorder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5" fillId="0" borderId="11" xfId="1" applyFont="1" applyBorder="1" applyAlignment="1">
      <x:alignment vertical="center" wrapText="1"/>
    </x:xf>
    <x:xf numFmtId="0" fontId="5" fillId="0" borderId="13" xfId="1" applyFont="1" applyBorder="1" applyAlignment="1">
      <x:alignment vertical="center" wrapText="1"/>
    </x:xf>
    <x:xf numFmtId="0" fontId="5" fillId="0" borderId="14" xfId="1" applyFont="1" applyBorder="1" applyAlignment="1">
      <x:alignment vertical="center" wrapText="1"/>
    </x:xf>
    <x:xf numFmtId="0" fontId="5" fillId="0" borderId="7" xfId="1" applyFont="1" applyBorder="1" applyAlignment="1">
      <x:alignment horizontal="center" vertical="center" wrapText="1"/>
    </x:xf>
    <x:xf numFmtId="0" fontId="5" fillId="0" borderId="8" xfId="1" applyFont="1" applyBorder="1" applyAlignment="1">
      <x:alignment horizontal="center" vertical="center" wrapText="1"/>
    </x:xf>
    <x:xf numFmtId="0" fontId="5" fillId="0" borderId="10" xfId="1" applyFont="1" applyBorder="1" applyAlignment="1">
      <x:alignment horizontal="center" vertical="center" wrapText="1"/>
    </x:xf>
    <x:xf numFmtId="0" fontId="5" fillId="0" borderId="0" xfId="1" applyFont="1" applyAlignment="1">
      <x:alignment horizontal="center" vertical="center" wrapText="1"/>
    </x:xf>
    <x:xf numFmtId="0" fontId="5" fillId="0" borderId="12" xfId="1" applyFont="1" applyBorder="1" applyAlignment="1">
      <x:alignment horizontal="center" vertical="center" wrapText="1"/>
    </x:xf>
    <x:xf numFmtId="0" fontId="5" fillId="0" borderId="13" xfId="1" applyFont="1" applyBorder="1" applyAlignment="1">
      <x:alignment horizontal="center" vertical="center" wrapText="1"/>
    </x:xf>
    <x:xf numFmtId="9" fontId="5" fillId="0" borderId="8" xfId="1" applyNumberFormat="1" applyFont="1" applyBorder="1" applyAlignment="1">
      <x:alignment horizontal="center" vertical="center" wrapText="1"/>
    </x:xf>
    <x:xf numFmtId="9" fontId="5" fillId="0" borderId="0" xfId="1" applyNumberFormat="1" applyFont="1" applyAlignment="1">
      <x:alignment horizontal="center" vertical="center" wrapText="1"/>
    </x:xf>
    <x:xf numFmtId="9" fontId="5" fillId="0" borderId="13" xfId="1" applyNumberFormat="1" applyFont="1" applyBorder="1" applyAlignment="1">
      <x:alignment horizontal="center" vertical="center" wrapText="1"/>
    </x:xf>
    <x:xf numFmtId="176" fontId="5" fillId="0" borderId="8" xfId="1" applyNumberFormat="1" applyFont="1" applyBorder="1" applyAlignment="1">
      <x:alignment horizontal="center" vertical="center" wrapText="1"/>
    </x:xf>
    <x:xf numFmtId="176" fontId="5" fillId="0" borderId="0" xfId="1" applyNumberFormat="1" applyFont="1" applyAlignment="1">
      <x:alignment horizontal="center" vertical="center" wrapText="1"/>
    </x:xf>
    <x:xf numFmtId="176" fontId="5" fillId="0" borderId="13" xfId="1" applyNumberFormat="1" applyFont="1" applyBorder="1" applyAlignment="1">
      <x:alignment horizontal="center" vertical="center" wrapText="1"/>
    </x:xf>
    <x:xf numFmtId="0" fontId="3" fillId="5" borderId="0" xfId="1" applyFont="1" applyFill="1" applyAlignment="1">
      <x:alignment horizontal="center" vertical="center" wrapText="1"/>
    </x:xf>
    <x:xf numFmtId="176" fontId="5" fillId="0" borderId="10" xfId="1" applyNumberFormat="1" applyFont="1" applyBorder="1" applyAlignment="1">
      <x:alignment horizontal="center" vertical="center" wrapText="1"/>
    </x:xf>
    <x:xf numFmtId="0" fontId="5" fillId="0" borderId="11" xfId="1" applyFont="1" applyBorder="1" applyAlignment="1">
      <x:alignment horizontal="center" vertical="center" wrapText="1"/>
    </x:xf>
    <x:xf numFmtId="176" fontId="5" fillId="7" borderId="7" xfId="1" applyNumberFormat="1" applyFont="1" applyFill="1" applyBorder="1" applyAlignment="1">
      <x:alignment horizontal="center" vertical="center" wrapText="1"/>
    </x:xf>
    <x:xf numFmtId="0" fontId="5" fillId="7" borderId="8" xfId="1" applyFont="1" applyFill="1" applyBorder="1" applyAlignment="1">
      <x:alignment horizontal="center" vertical="center" wrapText="1"/>
    </x:xf>
    <x:xf numFmtId="0" fontId="5" fillId="7" borderId="8" xfId="1" applyFont="1" applyFill="1" applyBorder="1" applyAlignment="1">
      <x:alignment vertical="center" wrapText="1"/>
    </x:xf>
    <x:xf numFmtId="0" fontId="5" fillId="7" borderId="9" xfId="1" applyFont="1" applyFill="1" applyBorder="1" applyAlignment="1">
      <x:alignment horizontal="center" vertical="center" wrapText="1"/>
    </x:xf>
    <x:xf numFmtId="176" fontId="5" fillId="7" borderId="10" xfId="1" applyNumberFormat="1" applyFont="1" applyFill="1" applyBorder="1" applyAlignment="1">
      <x:alignment horizontal="center" vertical="center" wrapText="1"/>
    </x:xf>
    <x:xf numFmtId="0" fontId="5" fillId="7" borderId="0" xfId="1" applyFont="1" applyFill="1" applyAlignment="1">
      <x:alignment horizontal="center" vertical="center" wrapText="1"/>
    </x:xf>
    <x:xf numFmtId="0" fontId="5" fillId="7" borderId="0" xfId="1" applyFont="1" applyFill="1" applyAlignment="1">
      <x:alignment vertical="center" wrapText="1"/>
    </x:xf>
    <x:xf numFmtId="0" fontId="5" fillId="7" borderId="11" xfId="1" applyFont="1" applyFill="1" applyBorder="1" applyAlignment="1">
      <x:alignment horizontal="center" vertical="center" wrapText="1"/>
    </x:xf>
    <x:xf numFmtId="176" fontId="5" fillId="7" borderId="12" xfId="1" applyNumberFormat="1" applyFont="1" applyFill="1" applyBorder="1" applyAlignment="1">
      <x:alignment horizontal="center" vertical="center" wrapText="1"/>
    </x:xf>
    <x:xf numFmtId="0" fontId="5" fillId="7" borderId="13" xfId="1" applyFont="1" applyFill="1" applyBorder="1" applyAlignment="1">
      <x:alignment horizontal="center" vertical="center" wrapText="1"/>
    </x:xf>
    <x:xf numFmtId="0" fontId="5" fillId="7" borderId="13" xfId="1" applyFont="1" applyFill="1" applyBorder="1" applyAlignment="1">
      <x:alignment vertical="center" wrapText="1"/>
    </x:xf>
    <x:xf numFmtId="0" fontId="5" fillId="7" borderId="14" xfId="1" applyFont="1" applyFill="1" applyBorder="1" applyAlignment="1">
      <x:alignment horizontal="center" vertical="center" wrapText="1"/>
    </x:xf>
    <x:xf numFmtId="0" fontId="7" fillId="5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horizontal="center" vertical="center"/>
    </x:xf>
    <x:xf numFmtId="0" fontId="4" fillId="6" borderId="4" xfId="1" applyFont="1" applyFill="1" applyBorder="1" applyAlignment="1">
      <x:alignment horizontal="center" vertical="center"/>
    </x:xf>
    <x:xf numFmtId="0" fontId="4" fillId="6" borderId="5" xfId="1" applyFont="1" applyFill="1" applyBorder="1" applyAlignment="1">
      <x:alignment horizontal="center" vertical="center"/>
    </x:xf>
    <x:xf numFmtId="0" fontId="4" fillId="6" borderId="6" xfId="1" applyFont="1" applyFill="1" applyBorder="1" applyAlignment="1">
      <x:alignment horizontal="center" vertical="center"/>
    </x:xf>
    <x:xf numFmtId="9" fontId="4" fillId="6" borderId="4" xfId="1" applyNumberFormat="1" applyFont="1" applyFill="1" applyBorder="1" applyAlignment="1">
      <x:alignment horizontal="center" vertical="center"/>
    </x:xf>
    <x:xf numFmtId="9" fontId="4" fillId="6" borderId="5" xfId="1" applyNumberFormat="1" applyFont="1" applyFill="1" applyBorder="1" applyAlignment="1">
      <x:alignment horizontal="center" vertical="center"/>
    </x:xf>
    <x:xf numFmtId="9" fontId="4" fillId="6" borderId="6" xfId="1" applyNumberFormat="1" applyFont="1" applyFill="1" applyBorder="1" applyAlignment="1">
      <x:alignment horizontal="center" vertical="center"/>
    </x:xf>
    <x:xf numFmtId="0" fontId="6" fillId="2" borderId="0" xfId="1" applyFont="1" applyFill="1" applyAlignment="1">
      <x:alignment horizontal="center" vertical="center"/>
    </x:xf>
    <x:xf numFmtId="0" fontId="7" fillId="4" borderId="0" xfId="1" applyFont="1" applyFill="1" applyAlignment="1">
      <x:alignment horizontal="center" vertical="center"/>
    </x:xf>
    <x:xf numFmtId="0" fontId="8" fillId="6" borderId="0" xfId="1" applyFont="1" applyFill="1" applyAlignment="1">
      <x:alignment horizontal="center" vertical="center"/>
    </x:xf>
    <x:xf numFmtId="9" fontId="8" fillId="6" borderId="0" xfId="1" applyNumberFormat="1" applyFont="1" applyFill="1" applyAlignment="1">
      <x:alignment horizontal="center" vertical="center"/>
    </x:xf>
    <x:xf numFmtId="0" fontId="11" fillId="0" borderId="0" xfId="1" applyFont="1" applyAlignment="1">
      <x:alignment horizontal="center" vertical="center" wrapText="1"/>
    </x:xf>
    <x:xf numFmtId="0" fontId="0" fillId="0" borderId="15" xfId="0" applyNumberFormat="1" applyFont="1" applyFill="1" applyBorder="1"/>
    <x:xf numFmtId="0" fontId="3" fillId="5" borderId="15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9" fontId="5" fillId="0" borderId="15" xfId="0" applyNumberFormat="1" applyFont="1" applyFill="1" applyBorder="1" applyAlignment="1">
      <x:alignment horizontal="center" vertical="center" wrapText="1"/>
    </x:xf>
    <x:xf numFmtId="176" fontId="5" fillId="0" borderId="15" xfId="0" applyNumberFormat="1" applyFont="1" applyFill="1" applyBorder="1" applyAlignment="1">
      <x:alignment horizontal="center" vertical="center" wrapText="1"/>
    </x:xf>
    <x:xf numFmtId="176" fontId="5" fillId="7" borderId="15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/>
    </x:xf>
    <x:xf numFmtId="0" fontId="4" fillId="6" borderId="15" xfId="0" applyNumberFormat="1" applyFont="1" applyFill="1" applyBorder="1" applyAlignment="1">
      <x:alignment horizontal="center" vertical="center"/>
    </x:xf>
    <x:xf numFmtId="9" fontId="4" fillId="6" borderId="15" xfId="0" applyNumberFormat="1" applyFont="1" applyFill="1" applyBorder="1" applyAlignment="1">
      <x:alignment horizontal="center" vertical="center"/>
    </x:xf>
    <x:xf numFmtId="0" fontId="6" fillId="2" borderId="15" xfId="0" applyNumberFormat="1" applyFont="1" applyFill="1" applyBorder="1" applyAlignment="1">
      <x:alignment horizontal="center" vertical="center"/>
    </x:xf>
    <x:xf numFmtId="0" fontId="7" fillId="4" borderId="15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9" fontId="8" fillId="6" borderId="15" xfId="0" applyNumberFormat="1" applyFont="1" applyFill="1" applyBorder="1" applyAlignment="1">
      <x:alignment horizontal="center" vertical="center"/>
    </x:xf>
    <x:xf numFmtId="0" fontId="11" fillId="0" borderId="15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200" fontId="5" fillId="0" borderId="15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1" fontId="5" fillId="0" borderId="15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horizontal="center" vertical="center" wrapText="1"/>
    </x:xf>
    <x:xf numFmtId="200" fontId="5" fillId="7" borderId="15" xfId="0" applyNumberFormat="1" applyFont="1" applyFill="1" applyBorder="1" applyAlignment="1">
      <x:alignment horizontal="center" vertical="center" wrapText="1"/>
    </x:xf>
    <x:xf numFmtId="201" fontId="8" fillId="6" borderId="0" xfId="0" applyNumberFormat="1" applyFont="1" applyFill="1" applyBorder="1" applyAlignment="1">
      <x:alignment horizontal="center" vertical="center"/>
    </x:xf>
    <x:xf numFmtId="201" fontId="8" fillId="6" borderId="1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5" xfId="0" applyNumberFormat="1" applyFont="1" applyFill="1" applyBorder="1"/>
    <x:xf numFmtId="0" fontId="6" fillId="8" borderId="15" xfId="0" applyNumberFormat="1" applyFont="1" applyFill="1" applyBorder="1"/>
    <x:xf numFmtId="0" fontId="6" fillId="8" borderId="15" xfId="0" applyNumberFormat="1" applyFont="1" applyFill="1" applyBorder="1" applyAlignment="1">
      <x:alignment horizontal="center"/>
    </x:xf>
    <x:xf numFmtId="0" fontId="6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left" wrapText="1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0" fillId="9" borderId="15" xfId="0" applyNumberFormat="1" applyFont="1" applyFill="1" applyBorder="1"/>
    <x:xf numFmtId="0" fontId="2" fillId="9" borderId="15" xfId="0" applyNumberFormat="1" applyFont="1" applyFill="1" applyBorder="1"/>
    <x:xf numFmtId="0" fontId="2" fillId="9" borderId="15" xfId="0" applyNumberFormat="1" applyFont="1" applyFill="1" applyBorder="1" applyAlignment="1">
      <x:alignment wrapText="1"/>
    </x:xf>
    <x:xf numFmtId="0" fontId="2" fillId="9" borderId="15" xfId="0" applyNumberFormat="1" applyFont="1" applyFill="1" applyBorder="1" applyAlignment="1">
      <x:alignment horizontal="left" wrapText="1"/>
    </x:xf>
    <x:xf numFmtId="0" fontId="2" fillId="9" borderId="15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5" xfId="0" applyNumberFormat="1" applyFont="1" applyFill="1" applyBorder="1"/>
    <x:xf numFmtId="0" fontId="3" fillId="10" borderId="15" xfId="0" applyNumberFormat="1" applyFont="1" applyFill="1" applyBorder="1"/>
    <x:xf numFmtId="0" fontId="3" fillId="10" borderId="15" xfId="0" applyNumberFormat="1" applyFont="1" applyFill="1" applyBorder="1" applyAlignment="1">
      <x:alignment wrapText="1"/>
    </x:xf>
    <x:xf numFmtId="0" fontId="3" fillId="10" borderId="15" xfId="0" applyNumberFormat="1" applyFont="1" applyFill="1" applyBorder="1" applyAlignment="1">
      <x:alignment horizontal="center" wrapText="1"/>
    </x:xf>
    <x:xf numFmtId="0" fontId="3" fillId="10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horizontal="center" vertical="center" wrapText="1"/>
    </x:xf>
    <x:xf numFmtId="0" fontId="3" fillId="10" borderId="17" xfId="0" applyNumberFormat="1" applyFont="1" applyFill="1" applyBorder="1" applyAlignment="1">
      <x:alignment horizontal="center" vertical="center" wrapText="1"/>
    </x:xf>
    <x:xf numFmtId="0" fontId="3" fillId="1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3" fillId="10" borderId="25" xfId="0" applyNumberFormat="1" applyFont="1" applyFill="1" applyBorder="1" applyAlignment="1">
      <x:alignment horizontal="center" vertical="center" wrapText="1"/>
    </x:xf>
    <x:xf numFmtId="0" fontId="3" fillId="10" borderId="26" xfId="0" applyNumberFormat="1" applyFont="1" applyFill="1" applyBorder="1" applyAlignment="1">
      <x:alignment horizontal="center" vertical="center" wrapText="1"/>
    </x:xf>
    <x:xf numFmtId="0" fontId="3" fillId="10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21" xfId="0" applyNumberFormat="1" applyFont="1" applyFill="1" applyBorder="1" applyAlignment="1">
      <x:alignment wrapText="1"/>
    </x:xf>
    <x:xf numFmtId="0" fontId="0" fillId="11" borderId="28" xfId="0" applyNumberFormat="1" applyFont="1" applyFill="1" applyBorder="1" applyAlignment="1">
      <x:alignment wrapText="1"/>
    </x:xf>
    <x:xf numFmtId="0" fontId="0" fillId="11" borderId="29" xfId="0" applyNumberFormat="1" applyFont="1" applyFill="1" applyBorder="1" applyAlignment="1">
      <x:alignment wrapText="1"/>
    </x:xf>
    <x:xf numFmtId="0" fontId="0" fillId="11" borderId="30" xfId="0" applyNumberFormat="1" applyFont="1" applyFill="1" applyBorder="1" applyAlignment="1">
      <x:alignment wrapText="1"/>
    </x:xf>
    <x:xf numFmtId="0" fontId="0" fillId="11" borderId="22" xfId="0" applyNumberFormat="1" applyFont="1" applyFill="1" applyBorder="1" applyAlignment="1">
      <x:alignment wrapText="1"/>
    </x:xf>
    <x:xf numFmtId="0" fontId="0" fillId="11" borderId="23" xfId="0" applyNumberFormat="1" applyFont="1" applyFill="1" applyBorder="1" applyAlignment="1">
      <x:alignment wrapText="1"/>
    </x:xf>
    <x:xf numFmtId="0" fontId="0" fillId="11" borderId="24" xfId="0" applyNumberFormat="1" applyFont="1" applyFill="1" applyBorder="1" applyAlignment="1">
      <x:alignment wrapText="1"/>
    </x:xf>
    <x:xf numFmtId="0" fontId="0" fillId="11" borderId="31" xfId="0" applyNumberFormat="1" applyFont="1" applyFill="1" applyBorder="1" applyAlignment="1">
      <x:alignment wrapText="1"/>
    </x:xf>
    <x:xf numFmtId="0" fontId="0" fillId="11" borderId="32" xfId="0" applyNumberFormat="1" applyFont="1" applyFill="1" applyBorder="1" applyAlignment="1">
      <x:alignment wrapText="1"/>
    </x:xf>
    <x:xf numFmtId="0" fontId="0" fillId="11" borderId="33" xfId="0" applyNumberFormat="1" applyFont="1" applyFill="1" applyBorder="1" applyAlignment="1">
      <x:alignment wrapText="1"/>
    </x:xf>
    <x:xf numFmtId="0" fontId="0" fillId="12" borderId="19" xfId="0" applyNumberFormat="1" applyFont="1" applyFill="1" applyBorder="1" applyAlignment="1">
      <x:alignment wrapText="1"/>
    </x:xf>
    <x:xf numFmtId="0" fontId="0" fillId="12" borderId="20" xfId="0" applyNumberFormat="1" applyFont="1" applyFill="1" applyBorder="1" applyAlignment="1">
      <x:alignment wrapText="1"/>
    </x:xf>
    <x:xf numFmtId="0" fontId="0" fillId="12" borderId="21" xfId="0" applyNumberFormat="1" applyFont="1" applyFill="1" applyBorder="1" applyAlignment="1">
      <x:alignment wrapText="1"/>
    </x:xf>
    <x:xf numFmtId="0" fontId="0" fillId="12" borderId="28" xfId="0" applyNumberFormat="1" applyFont="1" applyFill="1" applyBorder="1" applyAlignment="1">
      <x:alignment wrapText="1"/>
    </x:xf>
    <x:xf numFmtId="0" fontId="0" fillId="12" borderId="29" xfId="0" applyNumberFormat="1" applyFont="1" applyFill="1" applyBorder="1" applyAlignment="1">
      <x:alignment wrapText="1"/>
    </x:xf>
    <x:xf numFmtId="0" fontId="0" fillId="12" borderId="3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15" xfId="0" applyNumberFormat="1" applyFont="1" applyFill="1" applyBorder="1"/>
    <x:xf numFmtId="0" fontId="7" fillId="8" borderId="15" xfId="0" applyNumberFormat="1" applyFont="1" applyFill="1" applyBorder="1" applyAlignment="1">
      <x:alignment horizontal="center"/>
    </x:xf>
    <x:xf numFmtId="0" fontId="7" fillId="8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9" borderId="16" xfId="0" applyNumberFormat="1" applyFont="1" applyFill="1" applyBorder="1" applyAlignment="1">
      <x:alignment wrapText="1"/>
    </x:xf>
    <x:xf numFmtId="0" fontId="0" fillId="9" borderId="19" xfId="0" applyNumberFormat="1" applyFont="1" applyFill="1" applyBorder="1" applyAlignment="1">
      <x:alignment wrapText="1"/>
    </x:xf>
    <x:xf numFmtId="0" fontId="0" fillId="9" borderId="22" xfId="0" applyNumberFormat="1" applyFont="1" applyFill="1" applyBorder="1" applyAlignment="1">
      <x:alignment wrapText="1"/>
    </x:xf>
    <x:xf numFmtId="0" fontId="12" fillId="9" borderId="16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wrapText="1"/>
    </x:xf>
    <x:xf numFmtId="0" fontId="12" fillId="9" borderId="22" xfId="0" applyNumberFormat="1" applyFont="1" applyFill="1" applyBorder="1" applyAlignment="1">
      <x:alignment wrapText="1"/>
    </x:xf>
    <x:xf numFmtId="0" fontId="12" fillId="9" borderId="16" xfId="0" applyNumberFormat="1" applyFont="1" applyFill="1" applyBorder="1" applyAlignment="1">
      <x:alignment horizontal="center" wrapText="1"/>
    </x:xf>
    <x:xf numFmtId="0" fontId="12" fillId="9" borderId="19" xfId="0" applyNumberFormat="1" applyFont="1" applyFill="1" applyBorder="1" applyAlignment="1">
      <x:alignment horizontal="center" wrapText="1"/>
    </x:xf>
    <x:xf numFmtId="0" fontId="12" fillId="9" borderId="22" xfId="0" applyNumberFormat="1" applyFont="1" applyFill="1" applyBorder="1" applyAlignment="1">
      <x:alignment horizontal="center" wrapText="1"/>
    </x:xf>
  </x:cellXfs>
  <x:cellStyles count="2">
    <x:cellStyle name="Normal" xfId="1"/>
    <x:cellStyle name="常规" xfId="0"/>
  </x:cellStyles>
  <x:dxfs count="9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F7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b7c8e86994c79" /><Relationship Type="http://schemas.openxmlformats.org/officeDocument/2006/relationships/theme" Target="/xl/theme/theme1.xml" Id="Rae369baf1d694083" /><Relationship Type="http://schemas.openxmlformats.org/officeDocument/2006/relationships/sharedStrings" Target="/xl/sharedStrings.xml" Id="R99de657f0b394814" /><Relationship Type="http://schemas.openxmlformats.org/officeDocument/2006/relationships/worksheet" Target="/xl/worksheets/sheet1.xml" Id="R76ba0df7a6a24f89" /><Relationship Type="http://schemas.openxmlformats.org/officeDocument/2006/relationships/worksheet" Target="/xl/worksheets/sheet2.xml" Id="R03b10c53fb2d4826" /><Relationship Type="http://schemas.openxmlformats.org/officeDocument/2006/relationships/worksheet" Target="/xl/worksheets/sheet3.xml" Id="R784ef0a867a14e47" /><Relationship Type="http://schemas.openxmlformats.org/officeDocument/2006/relationships/worksheet" Target="/xl/worksheets/sheet4.xml" Id="Ra3486e16dcea4176" /></Relationships>
</file>

<file path=xl/tables/table1.xml><?xml version="1.0" encoding="utf-8"?>
<x:table xmlns:x="http://schemas.openxmlformats.org/spreadsheetml/2006/main" id="1" name="FirstWeekTasks" displayName="FirstWeekTasks" ref="A5:N24">
  <x:tableColumns count="14">
    <x:tableColumn id="1" name="序号"/>
    <x:tableColumn id="2" name="负责人"/>
    <x:tableColumn id="3" name="角色定位"/>
    <x:tableColumn id="4" name="任务类别"/>
    <x:tableColumn id="5" name="具体任务"/>
    <x:tableColumn id="6" name="开始日期"/>
    <x:tableColumn id="7" name="截止日期"/>
    <x:tableColumn id="8" name="协作人"/>
    <x:tableColumn id="9" name="交付物"/>
    <x:tableColumn id="10" name="验收标准"/>
    <x:tableColumn id="11" name="优先级"/>
    <x:tableColumn id="12" name="状态"/>
    <x:tableColumn id="13" name="完成度"/>
    <x:tableColumn id="1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DailyPlan" displayName="DailyPlan" ref="A2:H9">
  <x:tableColumns count="8">
    <x:tableColumn id="1" name="日期"/>
    <x:tableColumn id="2" name="阶段重点"/>
    <x:tableColumn id="3" name="陈伦禄"/>
    <x:tableColumn id="4" name="罗佳佳"/>
    <x:tableColumn id="5" name="程仁杰"/>
    <x:tableColumn id="6" name="李静雯"/>
    <x:tableColumn id="7" name="杨怡睿"/>
    <x:tableColumn id="8" name="当日共同验收"/>
  </x:tableColumns>
  <x:tableStyleInfo name="TableStyleMedium2" showRowStripes="1"/>
</x:table>
</file>

<file path=xl/tables/table3.xml><?xml version="1.0" encoding="utf-8"?>
<x:table xmlns:x="http://schemas.openxmlformats.org/spreadsheetml/2006/main" id="3" name="WeeklyAcceptance" displayName="WeeklyAcceptance" ref="A2:H17">
  <x:tableColumns count="8">
    <x:tableColumn id="1" name="序号"/>
    <x:tableColumn id="2" name="交付物"/>
    <x:tableColumn id="3" name="负责人"/>
    <x:tableColumn id="4" name="截止日期"/>
    <x:tableColumn id="5" name="验收要点"/>
    <x:tableColumn id="6" name="优先级"/>
    <x:tableColumn id="7" name="状态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bb4657607a4a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bc9f7c082f4c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a37bb195474886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10" customWidth="1"/>
    <x:col min="3" max="3" width="22" customWidth="1"/>
    <x:col min="4" max="4" width="12" customWidth="1"/>
    <x:col min="5" max="5" width="38" customWidth="1"/>
    <x:col min="6" max="7" width="12" customWidth="1"/>
    <x:col min="8" max="8" width="14" customWidth="1"/>
    <x:col min="9" max="9" width="28" customWidth="1"/>
    <x:col min="10" max="10" width="34" customWidth="1"/>
    <x:col min="11" max="11" width="9" customWidth="1"/>
    <x:col min="12" max="13" width="10" customWidth="1"/>
    <x:col min="14" max="14" width="18" customWidth="1"/>
  </x:cols>
  <x:sheetData>
    <x:row r="1" ht="27.149999618530273" customHeight="1">
      <x:c r="A1" s="38" t="str">
        <x:v>可信 RegRAG 项目｜第二周工作安排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22.350000381469727" customHeight="1">
      <x:c r="A2" s="39" t="str">
        <x:v>周期：2026-07-21 至 2026-07-27｜本周主题：离线知识库冻结与四类对比 Baseline 跑通｜报名截止：2026-08-17｜作品提交：2026-08-31 15:00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 ht="17.549999237060547" customHeight="1">
      <x:c r="A3" s="40" t="s">
        <x:v>0</x:v>
      </x:c>
      <x:c r="B3" s="40"/>
      <x:c r="C3" s="40"/>
      <x:c r="D3" s="40" t="s">
        <x:v>1</x:v>
      </x:c>
      <x:c r="E3" s="40"/>
      <x:c r="F3" s="40"/>
      <x:c r="G3" s="40" t="s">
        <x:v>2</x:v>
      </x:c>
      <x:c r="H3" s="40"/>
      <x:c r="I3" s="40"/>
      <x:c r="J3" s="40" t="s">
        <x:v>3</x:v>
      </x:c>
      <x:c r="K3" s="40"/>
      <x:c r="L3" s="40"/>
      <x:c r="M3" s="40"/>
      <x:c r="N3" s="40"/>
    </x:row>
    <x:row r="4" ht="24" customHeight="1">
      <x:c r="A4" s="41" t="n">
        <x:f>COUNTA(A6:A24)</x:f>
        <x:v>19</x:v>
      </x:c>
      <x:c r="B4" s="42"/>
      <x:c r="C4" s="43"/>
      <x:c r="D4" s="41" t="n">
        <x:f>COUNTIF(K6:K24,"P0")</x:f>
        <x:v>14</x:v>
      </x:c>
      <x:c r="E4" s="42"/>
      <x:c r="F4" s="43"/>
      <x:c r="G4" s="41" t="n">
        <x:f>COUNTIF(L6:L24,"已完成")</x:f>
        <x:v>0</x:v>
      </x:c>
      <x:c r="H4" s="42"/>
      <x:c r="I4" s="43"/>
      <x:c r="J4" s="44" t="n">
        <x:f>AVERAGE(M6:M24)</x:f>
        <x:v>0</x:v>
      </x:c>
      <x:c r="K4" s="45"/>
      <x:c r="L4" s="45"/>
      <x:c r="M4" s="45"/>
      <x:c r="N4" s="46"/>
    </x:row>
    <x:row r="5" ht="24" customHeight="1">
      <x:c r="A5" s="1" t="str">
        <x:v>序号</x:v>
      </x:c>
      <x:c r="B5" s="2" t="str">
        <x:v>负责人</x:v>
      </x:c>
      <x:c r="C5" s="2" t="str">
        <x:v>角色定位</x:v>
      </x:c>
      <x:c r="D5" s="2" t="str">
        <x:v>任务类别</x:v>
      </x:c>
      <x:c r="E5" s="2" t="str">
        <x:v>具体任务</x:v>
      </x:c>
      <x:c r="F5" s="2" t="str">
        <x:v>开始日期</x:v>
      </x:c>
      <x:c r="G5" s="2" t="str">
        <x:v>截止日期</x:v>
      </x:c>
      <x:c r="H5" s="2" t="str">
        <x:v>协作人</x:v>
      </x:c>
      <x:c r="I5" s="2" t="str">
        <x:v>交付物</x:v>
      </x:c>
      <x:c r="J5" s="2" t="str">
        <x:v>验收标准</x:v>
      </x:c>
      <x:c r="K5" s="2" t="str">
        <x:v>优先级</x:v>
      </x:c>
      <x:c r="L5" s="2" t="str">
        <x:v>状态</x:v>
      </x:c>
      <x:c r="M5" s="2" t="str">
        <x:v>完成度</x:v>
      </x:c>
      <x:c r="N5" s="3" t="str">
        <x:v>备注</x:v>
      </x:c>
    </x:row>
    <x:row r="6" ht="22.799999237060547">
      <x:c r="A6" s="10" t="n">
        <x:v>1</x:v>
      </x:c>
      <x:c r="B6" s="11" t="str">
        <x:v>陈伦禄</x:v>
      </x:c>
      <x:c r="C6" s="11" t="str">
        <x:v>队长协调、架构整合、代码审查</x:v>
      </x:c>
      <x:c r="D6" s="11" t="str">
        <x:v>工程治理</x:v>
      </x:c>
      <x:c r="E6" s="4" t="str">
        <x:v>建立统一项目仓库，冻结目录、分支、配置、日志与结果命名规范；将离线知识库和Baseline纳入同一主工程</x:v>
      </x:c>
      <x:c r="F6" s="72" t="n">
        <x:v>46224</x:v>
      </x:c>
      <x:c r="G6" s="72" t="n">
        <x:v>46225</x:v>
      </x:c>
      <x:c r="H6" s="11" t="str">
        <x:v>罗佳佳、程仁杰</x:v>
      </x:c>
      <x:c r="I6" s="4" t="str">
        <x:v>统一仓库V0.1、README、分支规范、配置模板</x:v>
      </x:c>
      <x:c r="J6" s="4" t="str">
        <x:v>data/index/baselines/evaluation/outputs目录清晰；所有成员可在同一入口运行；外部代码来源与许可证有记录</x:v>
      </x:c>
      <x:c r="K6" s="11" t="str">
        <x:v>P0</x:v>
      </x:c>
      <x:c r="L6" s="11" t="str">
        <x:v>未开始</x:v>
      </x:c>
      <x:c r="M6" s="74" t="n">
        <x:f t="shared" ref="M6:M24" si="0">IF(L6="已完成",1,IF(L6="进行中",0.5,IF(L6="阻塞",0.25,0)))</x:f>
        <x:v>0</x:v>
      </x:c>
      <x:c r="N6" s="5" t="str">
        <x:v>禁止直接把外部仓库作为团队原创成果</x:v>
      </x:c>
    </x:row>
    <x:row r="7" ht="22.799999237060547">
      <x:c r="A7" s="12" t="n">
        <x:v>2</x:v>
      </x:c>
      <x:c r="B7" s="13" t="str">
        <x:v>陈伦禄</x:v>
      </x:c>
      <x:c r="C7" s="13" t="str">
        <x:v>队长协调、架构整合、代码审查</x:v>
      </x:c>
      <x:c r="D7" s="13" t="str">
        <x:v>接口与公平协议</x:v>
      </x:c>
      <x:c r="E7" s="6" t="str">
        <x:v>冻结EvidenceRecord、QueryPlan、AnswerResponse、TraceRecord接口，并制定五类方法公平对比协议</x:v>
      </x:c>
      <x:c r="F7" s="72" t="n">
        <x:v>46224</x:v>
      </x:c>
      <x:c r="G7" s="72" t="n">
        <x:v>46226</x:v>
      </x:c>
      <x:c r="H7" s="13" t="str">
        <x:v>罗佳佳、程仁杰、杨怡睿</x:v>
      </x:c>
      <x:c r="I7" s="6" t="str">
        <x:v>接口契约V1.0、Baseline公平比较协议</x:v>
      </x:c>
      <x:c r="J7" s="6" t="str">
        <x:v>五种方法共享同一原始语料、EvidenceStore、评测集、Embedding、生成LLM、候选预算和指标脚本</x:v>
      </x:c>
      <x:c r="K7" s="13" t="str">
        <x:v>P0</x:v>
      </x:c>
      <x:c r="L7" s="13" t="str">
        <x:v>未开始</x:v>
      </x:c>
      <x:c r="M7" s="74" t="n">
        <x:f t="shared" si="0">IF(L7="已完成",1,IF(L7="进行中",0.5,IF(L7="阻塞",0.25,0)))</x:f>
        <x:v>0</x:v>
      </x:c>
      <x:c r="N7" s="7" t="str">
        <x:v>Agent接口冻结不等于完整Agent已实现</x:v>
      </x:c>
    </x:row>
    <x:row r="8" ht="22.799999237060547">
      <x:c r="A8" s="12" t="n">
        <x:v>3</x:v>
      </x:c>
      <x:c r="B8" s="13" t="str">
        <x:v>陈伦禄</x:v>
      </x:c>
      <x:c r="C8" s="13" t="str">
        <x:v>队长协调、架构整合、代码审查</x:v>
      </x:c>
      <x:c r="D8" s="13" t="str">
        <x:v>联调与代码审查</x:v>
      </x:c>
      <x:c r="E8" s="6" t="str">
        <x:v>组织离线知识库—Baseline两次联调，审查四类Baseline配置、输出Schema和Trace，解决接口不一致</x:v>
      </x:c>
      <x:c r="F8" s="72" t="n">
        <x:v>46226</x:v>
      </x:c>
      <x:c r="G8" s="72" t="n">
        <x:v>46229</x:v>
      </x:c>
      <x:c r="H8" s="13" t="str">
        <x:v>罗佳佳、程仁杰</x:v>
      </x:c>
      <x:c r="I8" s="6" t="str">
        <x:v>联调记录、代码审查清单、修复Issue</x:v>
      </x:c>
      <x:c r="J8" s="6" t="str">
        <x:v>Hybrid/FinSage/RegulatoryRAG/HiREC均可读取同一EvidenceStore并输出统一结果格式</x:v>
      </x:c>
      <x:c r="K8" s="13" t="str">
        <x:v>P0</x:v>
      </x:c>
      <x:c r="L8" s="13" t="str">
        <x:v>未开始</x:v>
      </x:c>
      <x:c r="M8" s="74" t="n">
        <x:f t="shared" si="0">IF(L8="已完成",1,IF(L8="进行中",0.5,IF(L8="阻塞",0.25,0)))</x:f>
        <x:v>0</x:v>
      </x:c>
      <x:c r="N8" s="7" t="str">
        <x:v>周中一次、周末前一次</x:v>
      </x:c>
    </x:row>
    <x:row r="9" ht="22.799999237060547">
      <x:c r="A9" s="12" t="n">
        <x:v>4</x:v>
      </x:c>
      <x:c r="B9" s="13" t="str">
        <x:v>陈伦禄</x:v>
      </x:c>
      <x:c r="C9" s="13" t="str">
        <x:v>队长协调、架构整合、代码审查</x:v>
      </x:c>
      <x:c r="D9" s="13" t="str">
        <x:v>周验收与规划</x:v>
      </x:c>
      <x:c r="E9" s="6" t="str">
        <x:v>主持第二周验收，形成横向Baseline初测报告、主要错例、第三周RegRAG Agent开发Issue</x:v>
      </x:c>
      <x:c r="F9" s="72" t="n">
        <x:v>46229</x:v>
      </x:c>
      <x:c r="G9" s="72" t="n">
        <x:v>46230</x:v>
      </x:c>
      <x:c r="H9" s="13" t="str">
        <x:v>全员</x:v>
      </x:c>
      <x:c r="I9" s="6" t="str">
        <x:v>第二周总结、Baseline初测报告、第三周Issue列表</x:v>
      </x:c>
      <x:c r="J9" s="6" t="str">
        <x:v>结果可复现；每个问题有负责人、优先级、截止时间和验收条件；不以方案文档替代运行结果</x:v>
      </x:c>
      <x:c r="K9" s="13" t="str">
        <x:v>P0</x:v>
      </x:c>
      <x:c r="L9" s="13" t="str">
        <x:v>未开始</x:v>
      </x:c>
      <x:c r="M9" s="74" t="n">
        <x:f t="shared" si="0">IF(L9="已完成",1,IF(L9="进行中",0.5,IF(L9="阻塞",0.25,0)))</x:f>
        <x:v>0</x:v>
      </x:c>
      <x:c r="N9" s="7" t="str">
        <x:v>第三周才进入完整Agent主链开发</x:v>
      </x:c>
    </x:row>
    <x:row r="10" ht="22.799999237060547">
      <x:c r="A10" s="12" t="n">
        <x:v>5</x:v>
      </x:c>
      <x:c r="B10" s="51" t="str">
        <x:v>罗佳佳</x:v>
      </x:c>
      <x:c r="C10" s="13" t="str">
        <x:v>离线知识库与索引开发</x:v>
      </x:c>
      <x:c r="D10" s="13" t="str">
        <x:v>解析质量复核</x:v>
      </x:c>
      <x:c r="E10" s="6" t="str">
        <x:v>人工核验第一周16份PoC，修复单位继承、Header Path、附件来源、旧版DOC等解析问题</x:v>
      </x:c>
      <x:c r="F10" s="72" t="n">
        <x:v>46224</x:v>
      </x:c>
      <x:c r="G10" s="72" t="n">
        <x:v>46226</x:v>
      </x:c>
      <x:c r="H10" s="13" t="str">
        <x:v>陈伦禄、李静雯</x:v>
      </x:c>
      <x:c r="I10" s="6" t="str">
        <x:v>PoC人工复核表、解析器修复V1.1、质量日志</x:v>
      </x:c>
      <x:c r="J10" s="6" t="str">
        <x:v>16份样本均有reviewer与结论；数值、单位、期间、表头、页码/单元格可核验；问题项有明确处置</x:v>
      </x:c>
      <x:c r="K10" s="13" t="str">
        <x:v>P0</x:v>
      </x:c>
      <x:c r="L10" s="13" t="str">
        <x:v>未开始</x:v>
      </x:c>
      <x:c r="M10" s="74" t="n">
        <x:f t="shared" si="0">IF(L10="已完成",1,IF(L10="进行中",0.5,IF(L10="阻塞",0.25,0)))</x:f>
        <x:v>0</x:v>
      </x:c>
      <x:c r="N10" s="7" t="str">
        <x:v>auto_checked不得等同人工确认</x:v>
      </x:c>
    </x:row>
    <x:row r="11" ht="22.799999237060547">
      <x:c r="A11" s="12" t="n">
        <x:v>6</x:v>
      </x:c>
      <x:c r="B11" s="51" t="str">
        <x:v>罗佳佳</x:v>
      </x:c>
      <x:c r="C11" s="13" t="str">
        <x:v>离线知识库与索引开发</x:v>
      </x:c>
      <x:c r="D11" s="13" t="str">
        <x:v>全量EvidenceStore</x:v>
      </x:c>
      <x:c r="E11" s="6" t="str">
        <x:v>将500份语料从结构探测推进到全量解析，输出可被检索模块消费的EvidenceStore V0.1</x:v>
      </x:c>
      <x:c r="F11" s="72" t="n">
        <x:v>46225</x:v>
      </x:c>
      <x:c r="G11" s="72" t="n">
        <x:v>46228</x:v>
      </x:c>
      <x:c r="H11" s="13" t="str">
        <x:v>陈伦禄</x:v>
      </x:c>
      <x:c r="I11" s="6" t="str">
        <x:v>evidence_store.jsonl/Parquet、全量解析日志、失败清单</x:v>
      </x:c>
      <x:c r="J11" s="6" t="str">
        <x:v>每条证据通过Schema校验并含来源定位；失败/警告文件单独隔离；不得伪造缺失的parent_doc_id或版本状态</x:v>
      </x:c>
      <x:c r="K11" s="13" t="str">
        <x:v>P0</x:v>
      </x:c>
      <x:c r="L11" s="13" t="str">
        <x:v>未开始</x:v>
      </x:c>
      <x:c r="M11" s="74" t="n">
        <x:f t="shared" si="0">IF(L11="已完成",1,IF(L11="进行中",0.5,IF(L11="阻塞",0.25,0)))</x:f>
        <x:v>0</x:v>
      </x:c>
      <x:c r="N11" s="7" t="str">
        <x:v>先保证可追溯，再追求全量语义完美</x:v>
      </x:c>
    </x:row>
    <x:row r="12" ht="22.799999237060547">
      <x:c r="A12" s="12" t="n">
        <x:v>7</x:v>
      </x:c>
      <x:c r="B12" s="51" t="str">
        <x:v>罗佳佳</x:v>
      </x:c>
      <x:c r="C12" s="13" t="str">
        <x:v>离线知识库与索引开发</x:v>
      </x:c>
      <x:c r="D12" s="13" t="str">
        <x:v>离线索引构建</x:v>
      </x:c>
      <x:c r="E12" s="6" t="str">
        <x:v>基于统一EvidenceStore构建BM25、BGE-M3 Dense与元数据索引，输出固定版本索引供所有Baseline共用</x:v>
      </x:c>
      <x:c r="F12" s="72" t="n">
        <x:v>46227</x:v>
      </x:c>
      <x:c r="G12" s="72" t="n">
        <x:v>46229</x:v>
      </x:c>
      <x:c r="H12" s="13" t="str">
        <x:v>程仁杰</x:v>
      </x:c>
      <x:c r="I12" s="6" t="str">
        <x:v>BM25索引、Dense索引、Metadata索引、构建脚本</x:v>
      </x:c>
      <x:c r="J12" s="6" t="str">
        <x:v>同一查询可返回evidence_id、doc_id、分数、来源位置；索引构建可一键复现并记录耗时和规模</x:v>
      </x:c>
      <x:c r="K12" s="13" t="str">
        <x:v>P0</x:v>
      </x:c>
      <x:c r="L12" s="13" t="str">
        <x:v>未开始</x:v>
      </x:c>
      <x:c r="M12" s="74" t="n">
        <x:f t="shared" si="0">IF(L12="已完成",1,IF(L12="进行中",0.5,IF(L12="阻塞",0.25,0)))</x:f>
        <x:v>0</x:v>
      </x:c>
      <x:c r="N12" s="7" t="str">
        <x:v>Embedding模型与版本必须固定</x:v>
      </x:c>
    </x:row>
    <x:row r="13" ht="22.799999237060547">
      <x:c r="A13" s="12" t="n">
        <x:v>8</x:v>
      </x:c>
      <x:c r="B13" s="51" t="str">
        <x:v>罗佳佳</x:v>
      </x:c>
      <x:c r="C13" s="13" t="str">
        <x:v>离线知识库与索引开发</x:v>
      </x:c>
      <x:c r="D13" s="13" t="str">
        <x:v>知识库交付与接口测试</x:v>
      </x:c>
      <x:c r="E13" s="6" t="str">
        <x:v>完成离线知识库使用说明、10条接口联调用例和质量统计，支持后续增量更新</x:v>
      </x:c>
      <x:c r="F13" s="72" t="n">
        <x:v>46229</x:v>
      </x:c>
      <x:c r="G13" s="72" t="n">
        <x:v>46230</x:v>
      </x:c>
      <x:c r="H13" s="13" t="str">
        <x:v>程仁杰、杨怡睿</x:v>
      </x:c>
      <x:c r="I13" s="6" t="str">
        <x:v>离线知识库README、接口测试、质量报告V1</x:v>
      </x:c>
      <x:c r="J13" s="6" t="str">
        <x:v>10条问题能稳定返回证据；索引版本、语料版本、解析器版本可追踪；新增文件可增量处理</x:v>
      </x:c>
      <x:c r="K13" s="13" t="str">
        <x:v>P1</x:v>
      </x:c>
      <x:c r="L13" s="13" t="str">
        <x:v>未开始</x:v>
      </x:c>
      <x:c r="M13" s="74" t="n">
        <x:f t="shared" si="0">IF(L13="已完成",1,IF(L13="进行中",0.5,IF(L13="阻塞",0.25,0)))</x:f>
        <x:v>0</x:v>
      </x:c>
      <x:c r="N13" s="7" t="str">
        <x:v>知识库是四类Baseline的唯一公共底座</x:v>
      </x:c>
    </x:row>
    <x:row r="14" ht="22.799999237060547">
      <x:c r="A14" s="12" t="n">
        <x:v>9</x:v>
      </x:c>
      <x:c r="B14" s="51" t="str">
        <x:v>程仁杰</x:v>
      </x:c>
      <x:c r="C14" s="13" t="str">
        <x:v>Baseline复现、统一评测与结果记录</x:v>
      </x:c>
      <x:c r="D14" s="13" t="str">
        <x:v>公共运行框架</x:v>
      </x:c>
      <x:c r="E14" s="6" t="str">
        <x:v>实现统一BaselineRunner、配置文件、计时/Token/候选日志与评测输出，支持一条命令切换方法</x:v>
      </x:c>
      <x:c r="F14" s="72" t="n">
        <x:v>46224</x:v>
      </x:c>
      <x:c r="G14" s="72" t="n">
        <x:v>46226</x:v>
      </x:c>
      <x:c r="H14" s="13" t="str">
        <x:v>陈伦禄、罗佳佳</x:v>
      </x:c>
      <x:c r="I14" s="6" t="str">
        <x:v>baseline_runner.py、configs、统一日志与结果Schema</x:v>
      </x:c>
      <x:c r="J14" s="6" t="str">
        <x:v>四类Baseline只改变核心方法；共享输入、模型、预算和输出格式；运行失败能定位到具体阶段</x:v>
      </x:c>
      <x:c r="K14" s="13" t="str">
        <x:v>P0</x:v>
      </x:c>
      <x:c r="L14" s="13" t="str">
        <x:v>未开始</x:v>
      </x:c>
      <x:c r="M14" s="74" t="n">
        <x:f t="shared" si="0">IF(L14="已完成",1,IF(L14="进行中",0.5,IF(L14="阻塞",0.25,0)))</x:f>
        <x:v>0</x:v>
      </x:c>
      <x:c r="N14" s="7" t="str">
        <x:v>先完成公共框架再复制方法</x:v>
      </x:c>
    </x:row>
    <x:row r="15" ht="22.799999237060547">
      <x:c r="A15" s="12" t="n">
        <x:v>10</x:v>
      </x:c>
      <x:c r="B15" s="13" t="str">
        <x:v>程仁杰</x:v>
      </x:c>
      <x:c r="C15" s="13" t="str">
        <x:v>Baseline复现、统一评测与结果记录</x:v>
      </x:c>
      <x:c r="D15" s="13" t="str">
        <x:v>Hybrid RAG</x:v>
      </x:c>
      <x:c r="E15" s="6" t="str">
        <x:v>跑通BM25 Top-K + Dense Top-K + RRF + 通用Reranker + 可信生成的基础强基线</x:v>
      </x:c>
      <x:c r="F15" s="72" t="n">
        <x:v>46225</x:v>
      </x:c>
      <x:c r="G15" s="72" t="n">
        <x:v>46227</x:v>
      </x:c>
      <x:c r="H15" s="13" t="str">
        <x:v>罗佳佳、陈伦禄</x:v>
      </x:c>
      <x:c r="I15" s="6" t="str">
        <x:v>Hybrid RAG可运行代码、配置、20题日志</x:v>
      </x:c>
      <x:c r="J15" s="6" t="str">
        <x:v>至少完成CoreEval Smoke子集；输出Recall@K、Evidence Hit、答案、引用、P50/P95；作为后续系统下界</x:v>
      </x:c>
      <x:c r="K15" s="13" t="str">
        <x:v>P0</x:v>
      </x:c>
      <x:c r="L15" s="13" t="str">
        <x:v>未开始</x:v>
      </x:c>
      <x:c r="M15" s="74" t="n">
        <x:f t="shared" si="0">IF(L15="已完成",1,IF(L15="进行中",0.5,IF(L15="阻塞",0.25,0)))</x:f>
        <x:v>0</x:v>
      </x:c>
      <x:c r="N15" s="7" t="str">
        <x:v>必须优先完成</x:v>
      </x:c>
    </x:row>
    <x:row r="16" ht="22.799999237060547">
      <x:c r="A16" s="12" t="n">
        <x:v>11</x:v>
      </x:c>
      <x:c r="B16" s="13" t="str">
        <x:v>程仁杰</x:v>
      </x:c>
      <x:c r="C16" s="13" t="str">
        <x:v>Baseline复现、统一评测与结果记录</x:v>
      </x:c>
      <x:c r="D16" s="13" t="str">
        <x:v>FinSage-Adapted</x:v>
      </x:c>
      <x:c r="E16" s="6" t="str">
        <x:v>适配金融多路径检索：BM25、正文Dense、标题/摘要检索、Metadata、Bundle Expansion与Reranker</x:v>
      </x:c>
      <x:c r="F16" s="72" t="n">
        <x:v>46226</x:v>
      </x:c>
      <x:c r="G16" s="72" t="n">
        <x:v>46228</x:v>
      </x:c>
      <x:c r="H16" s="13" t="str">
        <x:v>陈伦禄、罗佳佳</x:v>
      </x:c>
      <x:c r="I16" s="6" t="str">
        <x:v>FinSage-Adapted MVP、改动说明、运行日志</x:v>
      </x:c>
      <x:c r="J16" s="6" t="str">
        <x:v>删除原项目场景硬编码；禁止证据不足时调用模型自身知识；清楚标注HyDE是否启用</x:v>
      </x:c>
      <x:c r="K16" s="13" t="str">
        <x:v>P0</x:v>
      </x:c>
      <x:c r="L16" s="13" t="str">
        <x:v>未开始</x:v>
      </x:c>
      <x:c r="M16" s="74" t="n">
        <x:f t="shared" si="0">IF(L16="已完成",1,IF(L16="进行中",0.5,IF(L16="阻塞",0.25,0)))</x:f>
        <x:v>0</x:v>
      </x:c>
      <x:c r="N16" s="7" t="str">
        <x:v>定位为金融领域工程基线</x:v>
      </x:c>
    </x:row>
    <x:row r="17" ht="22.799999237060547">
      <x:c r="A17" s="12" t="n">
        <x:v>12</x:v>
      </x:c>
      <x:c r="B17" s="13" t="str">
        <x:v>程仁杰</x:v>
      </x:c>
      <x:c r="C17" s="13" t="str">
        <x:v>Baseline复现、统一评测与结果记录</x:v>
      </x:c>
      <x:c r="D17" s="13" t="str">
        <x:v>RegulatoryRAG-ML-Adapted</x:v>
      </x:c>
      <x:c r="E17" s="6" t="str">
        <x:v>实现BM25 + Dense + RRF候选、监管特征日志、Score Filter与强制引用；LTR先采用公开主链/可解释特征</x:v>
      </x:c>
      <x:c r="F17" s="72" t="n">
        <x:v>46227</x:v>
      </x:c>
      <x:c r="G17" s="72" t="n">
        <x:v>46229</x:v>
      </x:c>
      <x:c r="H17" s="13" t="str">
        <x:v>陈伦禄、杨怡睿</x:v>
      </x:c>
      <x:c r="I17" s="6" t="str">
        <x:v>RegulatoryRAG-ML-Adapted MVP、特征表、引用/拒答日志</x:v>
      </x:c>
      <x:c r="J17" s="6" t="str">
        <x:v>不得宣称完整复现论文最优LTR；至少输出检索分数、排名、有效性/期间特征和Insufficient Evidence分支</x:v>
      </x:c>
      <x:c r="K17" s="13" t="str">
        <x:v>P1</x:v>
      </x:c>
      <x:c r="L17" s="13" t="str">
        <x:v>未开始</x:v>
      </x:c>
      <x:c r="M17" s="74" t="n">
        <x:f t="shared" si="0">IF(L17="已完成",1,IF(L17="进行中",0.5,IF(L17="阻塞",0.25,0)))</x:f>
        <x:v>0</x:v>
      </x:c>
      <x:c r="N17" s="7" t="str">
        <x:v>定位为监管可信检索基线</x:v>
      </x:c>
    </x:row>
    <x:row r="18" ht="22.799999237060547">
      <x:c r="A18" s="12" t="n">
        <x:v>13</x:v>
      </x:c>
      <x:c r="B18" s="13" t="str">
        <x:v>程仁杰</x:v>
      </x:c>
      <x:c r="C18" s="13" t="str">
        <x:v>Baseline复现、统一评测与结果记录</x:v>
      </x:c>
      <x:c r="D18" s="13" t="str">
        <x:v>HiREC-Lite</x:v>
      </x:c>
      <x:c r="E18" s="6" t="str">
        <x:v>实现“文档级检索→文档内证据检索→Evidence Curation→完整性判断→最多一次补充查询”</x:v>
      </x:c>
      <x:c r="F18" s="72" t="n">
        <x:v>46228</x:v>
      </x:c>
      <x:c r="G18" s="72" t="n">
        <x:v>46230</x:v>
      </x:c>
      <x:c r="H18" s="13" t="str">
        <x:v>陈伦禄、罗佳佳</x:v>
      </x:c>
      <x:c r="I18" s="6" t="str">
        <x:v>HiREC-Lite MVP、补充查询Trace、运行日志</x:v>
      </x:c>
      <x:c r="J18" s="6" t="str">
        <x:v>支持Top-N文档后文件内检索；证据不足时最多补查一次并可停止；作为最关键Agentic强基线</x:v>
      </x:c>
      <x:c r="K18" s="13" t="str">
        <x:v>P1</x:v>
      </x:c>
      <x:c r="L18" s="13" t="str">
        <x:v>未开始</x:v>
      </x:c>
      <x:c r="M18" s="74" t="n">
        <x:f t="shared" si="0">IF(L18="已完成",1,IF(L18="进行中",0.5,IF(L18="阻塞",0.25,0)))</x:f>
        <x:v>0</x:v>
      </x:c>
      <x:c r="N18" s="7" t="str">
        <x:v>不得无限多跳</x:v>
      </x:c>
    </x:row>
    <x:row r="19" ht="22.799999237060547">
      <x:c r="A19" s="12" t="n">
        <x:v>14</x:v>
      </x:c>
      <x:c r="B19" s="13" t="str">
        <x:v>李静雯</x:v>
      </x:c>
      <x:c r="C19" s="13" t="str">
        <x:v>业务需求深化、项目文档与演示设计</x:v>
      </x:c>
      <x:c r="D19" s="13" t="str">
        <x:v>需求规格化</x:v>
      </x:c>
      <x:c r="E19" s="6" t="str">
        <x:v>将11条用户故事转为功能需求、输入输出字段、异常分支和验收编号，形成需求追踪矩阵</x:v>
      </x:c>
      <x:c r="F19" s="72" t="n">
        <x:v>46224</x:v>
      </x:c>
      <x:c r="G19" s="72" t="n">
        <x:v>46227</x:v>
      </x:c>
      <x:c r="H19" s="13" t="str">
        <x:v>杨怡睿、陈伦禄</x:v>
      </x:c>
      <x:c r="I19" s="6" t="str">
        <x:v>需求规格说明V1、需求—场景—测试映射表</x:v>
      </x:c>
      <x:c r="J19" s="6" t="str">
        <x:v>每项需求能映射到业务场景、系统模块和至少一个测试用例；模拟数据与赛题真实数据边界明确</x:v>
      </x:c>
      <x:c r="K19" s="13" t="str">
        <x:v>P0</x:v>
      </x:c>
      <x:c r="L19" s="13" t="str">
        <x:v>未开始</x:v>
      </x:c>
      <x:c r="M19" s="74" t="n">
        <x:f t="shared" si="0">IF(L19="已完成",1,IF(L19="进行中",0.5,IF(L19="阻塞",0.25,0)))</x:f>
        <x:v>0</x:v>
      </x:c>
      <x:c r="N19" s="7" t="str">
        <x:v>延续第一周业务场景成果</x:v>
      </x:c>
    </x:row>
    <x:row r="20" ht="22.799999237060547">
      <x:c r="A20" s="12" t="n">
        <x:v>15</x:v>
      </x:c>
      <x:c r="B20" s="13" t="str">
        <x:v>李静雯</x:v>
      </x:c>
      <x:c r="C20" s="13" t="str">
        <x:v>业务需求深化、项目文档与演示设计</x:v>
      </x:c>
      <x:c r="D20" s="13" t="str">
        <x:v>项目书V1.2</x:v>
      </x:c>
      <x:c r="E20" s="6" t="str">
        <x:v>补齐竞品差异化、技术可行性、实施方案、Baseline横向对比设计，并修订过强和已实现式表述</x:v>
      </x:c>
      <x:c r="F20" s="72" t="n">
        <x:v>46225</x:v>
      </x:c>
      <x:c r="G20" s="72" t="n">
        <x:v>46229</x:v>
      </x:c>
      <x:c r="H20" s="13" t="str">
        <x:v>陈伦禄、程仁杰</x:v>
      </x:c>
      <x:c r="I20" s="6" t="str">
        <x:v>项目计划书V1.2、术语统一表</x:v>
      </x:c>
      <x:c r="J20" s="6" t="str">
        <x:v>明确已完成/本周实现/后续计划；五种方法定位一致；不使用“彻底杜绝、全部实现”等无证据表述</x:v>
      </x:c>
      <x:c r="K20" s="13" t="str">
        <x:v>P0</x:v>
      </x:c>
      <x:c r="L20" s="13" t="str">
        <x:v>未开始</x:v>
      </x:c>
      <x:c r="M20" s="74" t="n">
        <x:f t="shared" si="0">IF(L20="已完成",1,IF(L20="进行中",0.5,IF(L20="阻塞",0.25,0)))</x:f>
        <x:v>0</x:v>
      </x:c>
      <x:c r="N20" s="7" t="str">
        <x:v>代码结果出来后再补真实指标</x:v>
      </x:c>
    </x:row>
    <x:row r="21" ht="22.799999237060547">
      <x:c r="A21" s="12" t="n">
        <x:v>16</x:v>
      </x:c>
      <x:c r="B21" s="13" t="str">
        <x:v>李静雯</x:v>
      </x:c>
      <x:c r="C21" s="13" t="str">
        <x:v>业务需求深化、项目文档与演示设计</x:v>
      </x:c>
      <x:c r="D21" s="13" t="str">
        <x:v>业务演示脚本</x:v>
      </x:c>
      <x:c r="E21" s="6" t="str">
        <x:v>为制度查询、报表取数、跨文件判断分别设计一条可演示流程和页面输出草图</x:v>
      </x:c>
      <x:c r="F21" s="72" t="n">
        <x:v>46227</x:v>
      </x:c>
      <x:c r="G21" s="72" t="n">
        <x:v>46230</x:v>
      </x:c>
      <x:c r="H21" s="13" t="str">
        <x:v>杨怡睿、陈伦禄</x:v>
      </x:c>
      <x:c r="I21" s="6" t="str">
        <x:v>三条Demo脚本、输出模板、前端信息层级草图</x:v>
      </x:c>
      <x:c r="J21" s="6" t="str">
        <x:v>每条Demo包含用户角色、问题、检索证据、答案字段、异常处理和业务价值，不依赖尚未具备的真实本行数据</x:v>
      </x:c>
      <x:c r="K21" s="13" t="str">
        <x:v>P1</x:v>
      </x:c>
      <x:c r="L21" s="13" t="str">
        <x:v>未开始</x:v>
      </x:c>
      <x:c r="M21" s="74" t="n">
        <x:f t="shared" si="0">IF(L21="已完成",1,IF(L21="进行中",0.5,IF(L21="阻塞",0.25,0)))</x:f>
        <x:v>0</x:v>
      </x:c>
      <x:c r="N21" s="7" t="str">
        <x:v>服务第三周前端与Agent联调</x:v>
      </x:c>
    </x:row>
    <x:row r="22" ht="22.799999237060547">
      <x:c r="A22" s="12" t="n">
        <x:v>17</x:v>
      </x:c>
      <x:c r="B22" s="13" t="str">
        <x:v>杨怡睿</x:v>
      </x:c>
      <x:c r="C22" s="13" t="str">
        <x:v>评测集治理、报名与材料管理</x:v>
      </x:c>
      <x:c r="D22" s="13" t="str">
        <x:v>评测集清洗</x:v>
      </x:c>
      <x:c r="E22" s="6" t="str">
        <x:v>清洗第一周评测题：去重、补齐qa_type、修正证据定位，形成CoreEval-80与RetrievalGold-40</x:v>
      </x:c>
      <x:c r="F22" s="72" t="n">
        <x:v>46224</x:v>
      </x:c>
      <x:c r="G22" s="72" t="n">
        <x:v>46228</x:v>
      </x:c>
      <x:c r="H22" s="13" t="str">
        <x:v>李静雯、罗佳佳</x:v>
      </x:c>
      <x:c r="I22" s="6" t="str">
        <x:v>CoreEval-80、RetrievalGold-40、清洗报告</x:v>
      </x:c>
      <x:c r="J22" s="6" t="str">
        <x:v>覆盖制度事实/阈值/流程/表格/跨文件；证据精确到条款或Sheet+Cell；题目无重复模板与空qa_type</x:v>
      </x:c>
      <x:c r="K22" s="13" t="str">
        <x:v>P0</x:v>
      </x:c>
      <x:c r="L22" s="13" t="str">
        <x:v>未开始</x:v>
      </x:c>
      <x:c r="M22" s="74" t="n">
        <x:f t="shared" si="0">IF(L22="已完成",1,IF(L22="进行中",0.5,IF(L22="阻塞",0.25,0)))</x:f>
        <x:v>0</x:v>
      </x:c>
      <x:c r="N22" s="7" t="str">
        <x:v>CoreEval用于端到端，Gold-40用于检索指标</x:v>
      </x:c>
    </x:row>
    <x:row r="23" ht="22.799999237060547">
      <x:c r="A23" s="12" t="n">
        <x:v>18</x:v>
      </x:c>
      <x:c r="B23" s="13" t="str">
        <x:v>杨怡睿</x:v>
      </x:c>
      <x:c r="C23" s="13" t="str">
        <x:v>评测集治理、报名与材料管理</x:v>
      </x:c>
      <x:c r="D23" s="13" t="str">
        <x:v>拒答澄清与结果模板</x:v>
      </x:c>
      <x:c r="E23" s="6" t="str">
        <x:v>新增不少于10条拒答/澄清题，建立五种方法统一结果表和错误类型编码</x:v>
      </x:c>
      <x:c r="F23" s="72" t="n">
        <x:v>46226</x:v>
      </x:c>
      <x:c r="G23" s="72" t="n">
        <x:v>46229</x:v>
      </x:c>
      <x:c r="H23" s="13" t="str">
        <x:v>陈伦禄、程仁杰</x:v>
      </x:c>
      <x:c r="I23" s="6" t="str">
        <x:v>拒答/澄清子集、Baseline结果模板、错例标签表</x:v>
      </x:c>
      <x:c r="J23" s="6" t="str">
        <x:v>覆盖缺期间、库外、证据不足、版本冲突；结果表含准确率、Citation Hit、Recall@K、P50/P95和错误类型</x:v>
      </x:c>
      <x:c r="K23" s="13" t="str">
        <x:v>P0</x:v>
      </x:c>
      <x:c r="L23" s="13" t="str">
        <x:v>未开始</x:v>
      </x:c>
      <x:c r="M23" s="74" t="n">
        <x:f t="shared" si="0">IF(L23="已完成",1,IF(L23="进行中",0.5,IF(L23="阻塞",0.25,0)))</x:f>
        <x:v>0</x:v>
      </x:c>
      <x:c r="N23" s="7" t="str">
        <x:v>拒答与澄清必须区分</x:v>
      </x:c>
    </x:row>
    <x:row r="24" ht="22.799999237060547">
      <x:c r="A24" s="14" t="n">
        <x:v>19</x:v>
      </x:c>
      <x:c r="B24" s="15" t="str">
        <x:v>杨怡睿</x:v>
      </x:c>
      <x:c r="C24" s="15" t="str">
        <x:v>评测集治理、报名与材料管理</x:v>
      </x:c>
      <x:c r="D24" s="15" t="str">
        <x:v>报名与交付材料跟踪</x:v>
      </x:c>
      <x:c r="E24" s="8" t="str">
        <x:v>继续完成报名、保密承诺和数据领取状态核查；建立第二周材料清单与版本台账</x:v>
      </x:c>
      <x:c r="F24" s="72" t="n">
        <x:v>46224</x:v>
      </x:c>
      <x:c r="G24" s="72" t="n">
        <x:v>46230</x:v>
      </x:c>
      <x:c r="H24" s="15" t="str">
        <x:v>陈伦禄、全员</x:v>
      </x:c>
      <x:c r="I24" s="8" t="str">
        <x:v>报名状态表、材料版本台账、会议纪要</x:v>
      </x:c>
      <x:c r="J24" s="8" t="str">
        <x:v>报名风险有明确负责人和截止时间；所有材料版本可追踪；正式文档无学校标识与敏感信息</x:v>
      </x:c>
      <x:c r="K24" s="15" t="str">
        <x:v>P1</x:v>
      </x:c>
      <x:c r="L24" s="15" t="str">
        <x:v>未开始</x:v>
      </x:c>
      <x:c r="M24" s="74" t="n">
        <x:f t="shared" si="0">IF(L24="已完成",1,IF(L24="进行中",0.5,IF(L24="阻塞",0.25,0)))</x:f>
        <x:v>0</x:v>
      </x:c>
      <x:c r="N24" s="9" t="str">
        <x:v>报名截止2026-08-17</x:v>
      </x:c>
    </x:row>
  </x:sheetData>
  <x:mergeCells>
    <x:mergeCell ref="A1:N1"/>
    <x:mergeCell ref="A2:N2"/>
    <x:mergeCell ref="J3:N3"/>
    <x:mergeCell ref="A4:C4"/>
    <x:mergeCell ref="D4:F4"/>
    <x:mergeCell ref="G4:I4"/>
    <x:mergeCell ref="J4:N4"/>
    <x:mergeCell ref="A3:C3"/>
    <x:mergeCell ref="D3:F3"/>
    <x:mergeCell ref="G3:I3"/>
  </x:mergeCells>
  <x:conditionalFormatting sqref="A6:N24">
    <x:cfRule type="expression" dxfId="8" priority="1">
      <x:formula>MOD(ROW(),2)=0</x:formula>
    </x:cfRule>
  </x:conditionalFormatting>
  <x:conditionalFormatting sqref="K6:K24">
    <x:cfRule type="expression" dxfId="7" priority="2">
      <x:formula>K6="P0"</x:formula>
    </x:cfRule>
  </x:conditionalFormatting>
  <x:conditionalFormatting sqref="L6:L24">
    <x:cfRule type="expression" dxfId="6" priority="3">
      <x:formula>L6="已完成"</x:formula>
    </x:cfRule>
    <x:cfRule type="expression" dxfId="5" priority="4">
      <x:formula>L6="进行中"</x:formula>
    </x:cfRule>
    <x:cfRule type="expression" dxfId="4" priority="5">
      <x:formula>L6="阻塞"</x:formula>
    </x:cfRule>
  </x:conditionalFormatting>
  <x:conditionalFormatting sqref="M6:M24">
    <x:cfRule type="dataBar" priority="6">
      <x:dataBar>
        <x:cfvo type="min"/>
        <x:cfvo type="max"/>
        <x:color rgb="FF5B9BD5"/>
      </x:dataBar>
    </x:cfRule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{20A18763-CC85-F9EE-4A89-C78BF6B95660}</x14:id>
        </x:ext>
      </x:extLst>
    </x:cfRule>
  </x:conditionalFormatting>
  <x:dataValidations count="2">
    <x:dataValidation type="list" sqref="K6:K24">
      <x:formula1>"P0,P1,P2"</x:formula1>
    </x:dataValidation>
    <x:dataValidation type="list" sqref="L6:L24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bb4657607a4a7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20A18763-CC85-F9EE-4A89-C78BF6B95660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M6:M24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8" customWidth="1"/>
    <x:col min="3" max="7" width="26" customWidth="1"/>
    <x:col min="8" max="8" width="28" customWidth="1"/>
  </x:cols>
  <x:sheetData>
    <x:row r="1" ht="25.649999618530273" customHeight="1">
      <x:c r="A1" s="47" t="str">
        <x:v>第二周每日推进计划（2026-07-21 至 2026-07-27）</x:v>
      </x:c>
      <x:c r="B1" s="47"/>
      <x:c r="C1" s="47"/>
      <x:c r="D1" s="47"/>
      <x:c r="E1" s="47"/>
      <x:c r="F1" s="47"/>
      <x:c r="G1" s="47"/>
      <x:c r="H1" s="47"/>
    </x:row>
    <x:row r="2" ht="22.350000381469727" customHeight="1">
      <x:c r="A2" s="22" t="str">
        <x:v>日期</x:v>
      </x:c>
      <x:c r="B2" s="22" t="str">
        <x:v>阶段重点</x:v>
      </x:c>
      <x:c r="C2" s="22" t="str">
        <x:v>陈伦禄</x:v>
      </x:c>
      <x:c r="D2" s="22" t="str">
        <x:v>罗佳佳</x:v>
      </x:c>
      <x:c r="E2" s="22" t="str">
        <x:v>程仁杰</x:v>
      </x:c>
      <x:c r="F2" s="22" t="str">
        <x:v>李静雯</x:v>
      </x:c>
      <x:c r="G2" s="22" t="str">
        <x:v>杨怡睿</x:v>
      </x:c>
      <x:c r="H2" s="22" t="str">
        <x:v>当日共同验收</x:v>
      </x:c>
    </x:row>
    <x:row r="3" ht="22.799999237060547">
      <x:c r="A3" s="76" t="n">
        <x:v>46224</x:v>
      </x:c>
      <x:c r="B3" s="26" t="str">
        <x:v>第二周启动与契约冻结</x:v>
      </x:c>
      <x:c r="C3" s="27" t="str">
        <x:v>复盘第一周；建立统一仓库；冻结Baseline公平协议与接口</x:v>
      </x:c>
      <x:c r="D3" s="27" t="str">
        <x:v>完成人工复核计划；定位单位/Header Path/DOC问题</x:v>
      </x:c>
      <x:c r="E3" s="27" t="str">
        <x:v>搭建统一BaselineRunner与配置框架</x:v>
      </x:c>
      <x:c r="F3" s="27" t="str">
        <x:v>将用户故事拆成功能需求和验收编号</x:v>
      </x:c>
      <x:c r="G3" s="27" t="str">
        <x:v>启动评测集去重、qa_type补齐和报名状态核查</x:v>
      </x:c>
      <x:c r="H3" s="28" t="str">
        <x:v>统一仓库可用；EvidenceRecord与比较协议确认</x:v>
      </x:c>
    </x:row>
    <x:row r="4" ht="22.799999237060547">
      <x:c r="A4" s="72" t="n">
        <x:v>46225</x:v>
      </x:c>
      <x:c r="B4" s="13" t="str">
        <x:v>全量知识库与基础检索</x:v>
      </x:c>
      <x:c r="C4" s="6" t="str">
        <x:v>审核仓库结构和索引接口；解决数据/检索契约问题</x:v>
      </x:c>
      <x:c r="D4" s="6" t="str">
        <x:v>启动500份全量解析；产出第一批EvidenceStore</x:v>
      </x:c>
      <x:c r="E4" s="6" t="str">
        <x:v>接入BM25与Dense检索；完成Hybrid骨架</x:v>
      </x:c>
      <x:c r="F4" s="6" t="str">
        <x:v>补齐项目书业务需求、MVP与技术可行性标题</x:v>
      </x:c>
      <x:c r="G4" s="6" t="str">
        <x:v>形成CoreEval-80题型配额与清洗规则</x:v>
      </x:c>
      <x:c r="H4" s="24" t="str">
        <x:v>EvidenceStore可被检索；Hybrid可返回候选证据</x:v>
      </x:c>
    </x:row>
    <x:row r="5" ht="22.799999237060547">
      <x:c r="A5" s="76" t="n">
        <x:v>46226</x:v>
      </x:c>
      <x:c r="B5" s="30" t="str">
        <x:v>索引冻结与第一次联调</x:v>
      </x:c>
      <x:c r="C5" s="31" t="str">
        <x:v>主持第一次联调；审核日志、Trace和错误处理</x:v>
      </x:c>
      <x:c r="D5" s="31" t="str">
        <x:v>完成PoC人工复核与解析器V1.1；构建BM25/Dense索引</x:v>
      </x:c>
      <x:c r="E5" s="31" t="str">
        <x:v>跑通Hybrid端到端；开始FinSage多路径适配</x:v>
      </x:c>
      <x:c r="F5" s="31" t="str">
        <x:v>完成需求追踪矩阵初稿</x:v>
      </x:c>
      <x:c r="G5" s="31" t="str">
        <x:v>补齐证据位置；开始RetrievalGold-40标注</x:v>
      </x:c>
      <x:c r="H5" s="32" t="str">
        <x:v>同一问题经统一入口返回答案、证据、分数和耗时</x:v>
      </x:c>
    </x:row>
    <x:row r="6" ht="22.799999237060547">
      <x:c r="A6" s="72" t="n">
        <x:v>46227</x:v>
      </x:c>
      <x:c r="B6" s="13" t="str">
        <x:v>Hybrid与FinSage</x:v>
      </x:c>
      <x:c r="C6" s="6" t="str">
        <x:v>代码审查；确认控制变量与结果字段一致</x:v>
      </x:c>
      <x:c r="D6" s="6" t="str">
        <x:v>完善Metadata索引、增量构建脚本和接口测试</x:v>
      </x:c>
      <x:c r="E6" s="6" t="str">
        <x:v>完成Hybrid 20题日志；实现FinSage标题/摘要、Bundle、Reranker</x:v>
      </x:c>
      <x:c r="F6" s="6" t="str">
        <x:v>撰写五类Baseline方法定位与公平比较说明</x:v>
      </x:c>
      <x:c r="G6" s="6" t="str">
        <x:v>完成CoreEval-80主体清洗；新增拒答/澄清题</x:v>
      </x:c>
      <x:c r="H6" s="24" t="str">
        <x:v>Hybrid可复现；FinSage-Adapted主链可运行</x:v>
      </x:c>
    </x:row>
    <x:row r="7">
      <x:c r="A7" s="76" t="n">
        <x:v>46228</x:v>
      </x:c>
      <x:c r="B7" s="30" t="str">
        <x:v>监管与分层强基线</x:v>
      </x:c>
      <x:c r="C7" s="31" t="str">
        <x:v>审查RegulatoryRAG和HiREC适配边界，避免虚假复现</x:v>
      </x:c>
      <x:c r="D7" s="31" t="str">
        <x:v>输出EvidenceStore V0.1与索引版本；协助文件级/证据级检索</x:v>
      </x:c>
      <x:c r="E7" s="31" t="str">
        <x:v>实现Regulatory候选+特征+Score Filter；启动HiREC两级检索</x:v>
      </x:c>
      <x:c r="F7" s="31" t="str">
        <x:v>完成项目书V1.2初稿；设计三条Demo流程</x:v>
      </x:c>
      <x:c r="G7" s="31" t="str">
        <x:v>完成RetrievalGold-40与错误类型编码</x:v>
      </x:c>
      <x:c r="H7" s="32" t="str">
        <x:v>四类Baseline均有可执行配置，至少核心链路可运行</x:v>
      </x:c>
    </x:row>
    <x:row r="8">
      <x:c r="A8" s="72" t="n">
        <x:v>46229</x:v>
      </x:c>
      <x:c r="B8" s="13" t="str">
        <x:v>统一评测与错例分析</x:v>
      </x:c>
      <x:c r="C8" s="6" t="str">
        <x:v>组织第二次联调；汇总结果与阻塞问题</x:v>
      </x:c>
      <x:c r="D8" s="6" t="str">
        <x:v>完成知识库README、10条接口用例和质量报告</x:v>
      </x:c>
      <x:c r="E8" s="6" t="str">
        <x:v>运行四类Baseline Smoke集；记录Recall、Citation、延迟和Trace</x:v>
      </x:c>
      <x:c r="F8" s="6" t="str">
        <x:v>根据真实运行结果修订项目书措辞和Demo脚本</x:v>
      </x:c>
      <x:c r="G8" s="6" t="str">
        <x:v>汇总统一结果表；检查拒答/澄清与证据标注</x:v>
      </x:c>
      <x:c r="H8" s="24" t="str">
        <x:v>产出首版横向对比表和可复盘错例</x:v>
      </x:c>
    </x:row>
    <x:row r="9" ht="22.799999237060547">
      <x:c r="A9" s="76" t="n">
        <x:v>46230</x:v>
      </x:c>
      <x:c r="B9" s="34" t="str">
        <x:v>周验收与第三周规划</x:v>
      </x:c>
      <x:c r="C9" s="35" t="str">
        <x:v>主持验收；冻结第三周RegRAG Agent Issue和接口</x:v>
      </x:c>
      <x:c r="D9" s="35" t="str">
        <x:v>演示全量知识库、索引构建和证据定位</x:v>
      </x:c>
      <x:c r="E9" s="35" t="str">
        <x:v>演示Hybrid、FinSage、RegulatoryRAG、HiREC-Lite</x:v>
      </x:c>
      <x:c r="F9" s="35" t="str">
        <x:v>提交项目书V1.2、需求矩阵和三条Demo脚本</x:v>
      </x:c>
      <x:c r="G9" s="35" t="str">
        <x:v>提交CoreEval、Gold qrels、拒答子集和报名状态</x:v>
      </x:c>
      <x:c r="H9" s="36" t="str">
        <x:v>本周全部P0有可下载交付；第三周Agent开发前置条件明确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0bc9f7c082f4ceb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30" customWidth="1"/>
    <x:col min="3" max="3" width="14" customWidth="1"/>
    <x:col min="4" max="4" width="12" customWidth="1"/>
    <x:col min="5" max="5" width="38" customWidth="1"/>
    <x:col min="6" max="6" width="9" customWidth="1"/>
    <x:col min="7" max="7" width="10" customWidth="1"/>
    <x:col min="8" max="8" width="20" customWidth="1"/>
  </x:cols>
  <x:sheetData>
    <x:row r="1" ht="25.649999618530273" customHeight="1">
      <x:c r="A1" s="47" t="str">
        <x:v>第二周交付物与验收清单</x:v>
      </x:c>
      <x:c r="B1" s="47"/>
      <x:c r="C1" s="47"/>
      <x:c r="D1" s="47"/>
      <x:c r="E1" s="47"/>
      <x:c r="F1" s="47"/>
      <x:c r="G1" s="47"/>
      <x:c r="H1" s="47"/>
    </x:row>
    <x:row r="2" ht="22.350000381469727" customHeight="1">
      <x:c r="A2" s="37" t="str">
        <x:v>序号</x:v>
      </x:c>
      <x:c r="B2" s="37" t="str">
        <x:v>交付物</x:v>
      </x:c>
      <x:c r="C2" s="37" t="str">
        <x:v>负责人</x:v>
      </x:c>
      <x:c r="D2" s="37" t="str">
        <x:v>截止日期</x:v>
      </x:c>
      <x:c r="E2" s="37" t="str">
        <x:v>验收要点</x:v>
      </x:c>
      <x:c r="F2" s="37" t="str">
        <x:v>优先级</x:v>
      </x:c>
      <x:c r="G2" s="37" t="str">
        <x:v>状态</x:v>
      </x:c>
      <x:c r="H2" s="37" t="str">
        <x:v>备注</x:v>
      </x:c>
    </x:row>
    <x:row r="3">
      <x:c r="A3" s="10" t="n">
        <x:v>1</x:v>
      </x:c>
      <x:c r="B3" s="11" t="str">
        <x:v>统一仓库V0.1与Baseline公平协议</x:v>
      </x:c>
      <x:c r="C3" s="11" t="str">
        <x:v>陈伦禄</x:v>
      </x:c>
      <x:c r="D3" s="72" t="n">
        <x:v>46226</x:v>
      </x:c>
      <x:c r="E3" s="4" t="str">
        <x:v>同一EvidenceStore、模型、预算、评测集和输出Schema</x:v>
      </x:c>
      <x:c r="F3" s="11" t="str">
        <x:v>P0</x:v>
      </x:c>
      <x:c r="G3" s="11" t="str">
        <x:v>未开始</x:v>
      </x:c>
      <x:c r="H3" s="5"/>
    </x:row>
    <x:row r="4">
      <x:c r="A4" s="12" t="n">
        <x:v>2</x:v>
      </x:c>
      <x:c r="B4" s="13" t="str">
        <x:v>接口契约V1.0与主入口</x:v>
      </x:c>
      <x:c r="C4" s="13" t="str">
        <x:v>陈伦禄</x:v>
      </x:c>
      <x:c r="D4" s="72" t="n">
        <x:v>46226</x:v>
      </x:c>
      <x:c r="E4" s="6" t="str">
        <x:v>QueryPlan/Evidence/Answer/Trace可校验并能端到端运行</x:v>
      </x:c>
      <x:c r="F4" s="13" t="str">
        <x:v>P0</x:v>
      </x:c>
      <x:c r="G4" s="13" t="str">
        <x:v>未开始</x:v>
      </x:c>
      <x:c r="H4" s="7"/>
    </x:row>
    <x:row r="5">
      <x:c r="A5" s="12" t="n">
        <x:v>3</x:v>
      </x:c>
      <x:c r="B5" s="13" t="str">
        <x:v>PoC人工复核与解析器V1.1</x:v>
      </x:c>
      <x:c r="C5" s="13" t="str">
        <x:v>罗佳佳</x:v>
      </x:c>
      <x:c r="D5" s="72" t="n">
        <x:v>46226</x:v>
      </x:c>
      <x:c r="E5" s="6" t="str">
        <x:v>16份样本数值、单位、期间、表头和位置人工确认</x:v>
      </x:c>
      <x:c r="F5" s="13" t="str">
        <x:v>P0</x:v>
      </x:c>
      <x:c r="G5" s="13" t="str">
        <x:v>未开始</x:v>
      </x:c>
      <x:c r="H5" s="7"/>
    </x:row>
    <x:row r="6">
      <x:c r="A6" s="12" t="n">
        <x:v>4</x:v>
      </x:c>
      <x:c r="B6" s="13" t="str">
        <x:v>全量EvidenceStore V0.1</x:v>
      </x:c>
      <x:c r="C6" s="13" t="str">
        <x:v>罗佳佳</x:v>
      </x:c>
      <x:c r="D6" s="72" t="n">
        <x:v>46228</x:v>
      </x:c>
      <x:c r="E6" s="6" t="str">
        <x:v>500份语料有可追溯记录，失败/警告隔离，Schema零结构错误</x:v>
      </x:c>
      <x:c r="F6" s="13" t="str">
        <x:v>P0</x:v>
      </x:c>
      <x:c r="G6" s="13" t="str">
        <x:v>未开始</x:v>
      </x:c>
      <x:c r="H6" s="7"/>
    </x:row>
    <x:row r="7">
      <x:c r="A7" s="12" t="n">
        <x:v>5</x:v>
      </x:c>
      <x:c r="B7" s="13" t="str">
        <x:v>BM25/Dense/Metadata索引与构建脚本</x:v>
      </x:c>
      <x:c r="C7" s="13" t="str">
        <x:v>罗佳佳</x:v>
      </x:c>
      <x:c r="D7" s="72" t="n">
        <x:v>46229</x:v>
      </x:c>
      <x:c r="E7" s="6" t="str">
        <x:v>索引可一键重建并返回evidence_id、分数和来源位置</x:v>
      </x:c>
      <x:c r="F7" s="13" t="str">
        <x:v>P0</x:v>
      </x:c>
      <x:c r="G7" s="13" t="str">
        <x:v>未开始</x:v>
      </x:c>
      <x:c r="H7" s="7"/>
    </x:row>
    <x:row r="8">
      <x:c r="A8" s="12" t="n">
        <x:v>6</x:v>
      </x:c>
      <x:c r="B8" s="13" t="str">
        <x:v>Hybrid RAG可运行基线</x:v>
      </x:c>
      <x:c r="C8" s="13" t="str">
        <x:v>程仁杰</x:v>
      </x:c>
      <x:c r="D8" s="72" t="n">
        <x:v>46227</x:v>
      </x:c>
      <x:c r="E8" s="6" t="str">
        <x:v>BM25+Dense+RRF+Reranker，完成20题日志与指标</x:v>
      </x:c>
      <x:c r="F8" s="13" t="str">
        <x:v>P0</x:v>
      </x:c>
      <x:c r="G8" s="13" t="str">
        <x:v>未开始</x:v>
      </x:c>
      <x:c r="H8" s="7"/>
    </x:row>
    <x:row r="9">
      <x:c r="A9" s="12" t="n">
        <x:v>7</x:v>
      </x:c>
      <x:c r="B9" s="13" t="str">
        <x:v>FinSage-Adapted MVP</x:v>
      </x:c>
      <x:c r="C9" s="13" t="str">
        <x:v>程仁杰</x:v>
      </x:c>
      <x:c r="D9" s="72" t="n">
        <x:v>46228</x:v>
      </x:c>
      <x:c r="E9" s="6" t="str">
        <x:v>多路径召回、Metadata、Bundle、Reranker，无场景硬编码</x:v>
      </x:c>
      <x:c r="F9" s="13" t="str">
        <x:v>P0</x:v>
      </x:c>
      <x:c r="G9" s="13" t="str">
        <x:v>未开始</x:v>
      </x:c>
      <x:c r="H9" s="7"/>
    </x:row>
    <x:row r="10">
      <x:c r="A10" s="12" t="n">
        <x:v>8</x:v>
      </x:c>
      <x:c r="B10" s="13" t="str">
        <x:v>RegulatoryRAG-ML-Adapted MVP</x:v>
      </x:c>
      <x:c r="C10" s="13" t="str">
        <x:v>程仁杰</x:v>
      </x:c>
      <x:c r="D10" s="72" t="n">
        <x:v>46229</x:v>
      </x:c>
      <x:c r="E10" s="6" t="str">
        <x:v>候选融合、特征日志、Score Filter、引用和证据不足分支</x:v>
      </x:c>
      <x:c r="F10" s="13" t="str">
        <x:v>P1</x:v>
      </x:c>
      <x:c r="G10" s="13" t="str">
        <x:v>未开始</x:v>
      </x:c>
      <x:c r="H10" s="7"/>
    </x:row>
    <x:row r="11">
      <x:c r="A11" s="12" t="n">
        <x:v>9</x:v>
      </x:c>
      <x:c r="B11" s="13" t="str">
        <x:v>HiREC-Lite MVP</x:v>
      </x:c>
      <x:c r="C11" s="13" t="str">
        <x:v>程仁杰</x:v>
      </x:c>
      <x:c r="D11" s="72" t="n">
        <x:v>46230</x:v>
      </x:c>
      <x:c r="E11" s="6" t="str">
        <x:v>文档级→证据级→完整性判断→最多一次补查</x:v>
      </x:c>
      <x:c r="F11" s="13" t="str">
        <x:v>P1</x:v>
      </x:c>
      <x:c r="G11" s="13" t="str">
        <x:v>未开始</x:v>
      </x:c>
      <x:c r="H11" s="7"/>
    </x:row>
    <x:row r="12">
      <x:c r="A12" s="12" t="n">
        <x:v>10</x:v>
      </x:c>
      <x:c r="B12" s="13" t="str">
        <x:v>统一BaselineRunner与横向结果表</x:v>
      </x:c>
      <x:c r="C12" s="13" t="str">
        <x:v>程仁杰、陈伦禄</x:v>
      </x:c>
      <x:c r="D12" s="72" t="n">
        <x:v>46230</x:v>
      </x:c>
      <x:c r="E12" s="6" t="str">
        <x:v>一条命令切换方法，输出检索、答案、引用、延迟和Token</x:v>
      </x:c>
      <x:c r="F12" s="13" t="str">
        <x:v>P0</x:v>
      </x:c>
      <x:c r="G12" s="13" t="str">
        <x:v>未开始</x:v>
      </x:c>
      <x:c r="H12" s="7"/>
    </x:row>
    <x:row r="13" ht="22.799999237060547">
      <x:c r="A13" s="12" t="n">
        <x:v>11</x:v>
      </x:c>
      <x:c r="B13" s="13" t="str">
        <x:v>需求追踪矩阵与规格说明V1</x:v>
      </x:c>
      <x:c r="C13" s="13" t="str">
        <x:v>李静雯</x:v>
      </x:c>
      <x:c r="D13" s="72" t="n">
        <x:v>46227</x:v>
      </x:c>
      <x:c r="E13" s="6" t="str">
        <x:v>场景—需求—模块—测试可追踪，边界清楚</x:v>
      </x:c>
      <x:c r="F13" s="13" t="str">
        <x:v>P0</x:v>
      </x:c>
      <x:c r="G13" s="13" t="str">
        <x:v>未开始</x:v>
      </x:c>
      <x:c r="H13" s="7"/>
    </x:row>
    <x:row r="14">
      <x:c r="A14" s="12" t="n">
        <x:v>12</x:v>
      </x:c>
      <x:c r="B14" s="13" t="str">
        <x:v>项目计划书V1.2</x:v>
      </x:c>
      <x:c r="C14" s="13" t="str">
        <x:v>李静雯</x:v>
      </x:c>
      <x:c r="D14" s="72" t="n">
        <x:v>46229</x:v>
      </x:c>
      <x:c r="E14" s="6" t="str">
        <x:v>补齐方案和Baseline设计，区分已完成与计划实现</x:v>
      </x:c>
      <x:c r="F14" s="13" t="str">
        <x:v>P0</x:v>
      </x:c>
      <x:c r="G14" s="13" t="str">
        <x:v>未开始</x:v>
      </x:c>
      <x:c r="H14" s="7"/>
    </x:row>
    <x:row r="15">
      <x:c r="A15" s="12" t="n">
        <x:v>13</x:v>
      </x:c>
      <x:c r="B15" s="13" t="str">
        <x:v>CoreEval-80与RetrievalGold-40</x:v>
      </x:c>
      <x:c r="C15" s="13" t="str">
        <x:v>杨怡睿</x:v>
      </x:c>
      <x:c r="D15" s="72" t="n">
        <x:v>46228</x:v>
      </x:c>
      <x:c r="E15" s="6" t="str">
        <x:v>去重、qa_type完整、证据到条款或Sheet+Cell</x:v>
      </x:c>
      <x:c r="F15" s="13" t="str">
        <x:v>P0</x:v>
      </x:c>
      <x:c r="G15" s="13" t="str">
        <x:v>未开始</x:v>
      </x:c>
      <x:c r="H15" s="7"/>
    </x:row>
    <x:row r="16">
      <x:c r="A16" s="12" t="n">
        <x:v>14</x:v>
      </x:c>
      <x:c r="B16" s="13" t="str">
        <x:v>拒答/澄清子集与错例标签</x:v>
      </x:c>
      <x:c r="C16" s="13" t="str">
        <x:v>杨怡睿</x:v>
      </x:c>
      <x:c r="D16" s="72" t="n">
        <x:v>46229</x:v>
      </x:c>
      <x:c r="E16" s="6" t="str">
        <x:v>不少于10题，区分缺条件/库外/不足/冲突</x:v>
      </x:c>
      <x:c r="F16" s="13" t="str">
        <x:v>P0</x:v>
      </x:c>
      <x:c r="G16" s="13" t="str">
        <x:v>未开始</x:v>
      </x:c>
      <x:c r="H16" s="7"/>
    </x:row>
    <x:row r="17">
      <x:c r="A17" s="14" t="n">
        <x:v>15</x:v>
      </x:c>
      <x:c r="B17" s="15" t="str">
        <x:v>第二周总结与第三周Agent Issue</x:v>
      </x:c>
      <x:c r="C17" s="15" t="str">
        <x:v>陈伦禄</x:v>
      </x:c>
      <x:c r="D17" s="72" t="n">
        <x:v>46230</x:v>
      </x:c>
      <x:c r="E17" s="8" t="str">
        <x:v>基于真实运行结果制定动态路由、多跳、Gate、自核任务</x:v>
      </x:c>
      <x:c r="F17" s="15" t="str">
        <x:v>P0</x:v>
      </x:c>
      <x:c r="G17" s="15" t="str">
        <x:v>未开始</x:v>
      </x:c>
      <x:c r="H17" s="9"/>
    </x:row>
    <x:row r="19">
      <x:c r="A19" s="48" t="str">
        <x:v>交付物总数</x:v>
      </x:c>
      <x:c r="B19" s="48"/>
      <x:c r="C19" s="48" t="str">
        <x:v>P0数量</x:v>
      </x:c>
      <x:c r="D19" s="48"/>
      <x:c r="E19" s="48" t="str">
        <x:v>已完成</x:v>
      </x:c>
      <x:c r="F19" s="48"/>
      <x:c r="G19" s="48" t="str">
        <x:v>完成率</x:v>
      </x:c>
      <x:c r="H19" s="48"/>
    </x:row>
    <x:row r="20" ht="17.399999618530273">
      <x:c r="A20" s="49" t="n">
        <x:f>COUNTA(A3:A17)</x:f>
        <x:v>15</x:v>
      </x:c>
      <x:c r="B20" s="49"/>
      <x:c r="C20" s="49" t="n">
        <x:f>COUNTIF(F3:F17,"P0")</x:f>
        <x:v>13</x:v>
      </x:c>
      <x:c r="D20" s="49"/>
      <x:c r="E20" s="49" t="n">
        <x:f>COUNTIF(G3:G17,"已完成")</x:f>
        <x:v>0</x:v>
      </x:c>
      <x:c r="F20" s="49"/>
      <x:c r="G20" s="78" t="n">
        <x:f>E20/A20</x:f>
        <x:v>0</x:v>
      </x:c>
      <x:c r="H20" s="50"/>
    </x:row>
  </x:sheetData>
  <x:mergeCells>
    <x:mergeCell ref="A20:B20"/>
    <x:mergeCell ref="C20:D20"/>
    <x:mergeCell ref="E20:F20"/>
    <x:mergeCell ref="G20:H20"/>
    <x:mergeCell ref="A1:H1"/>
    <x:mergeCell ref="A19:B19"/>
    <x:mergeCell ref="C19:D19"/>
    <x:mergeCell ref="E19:F19"/>
    <x:mergeCell ref="G19:H19"/>
  </x:mergeCells>
  <x:conditionalFormatting sqref="F3:F17">
    <x:cfRule type="expression" dxfId="3" priority="1">
      <x:formula>F3="P0"</x:formula>
    </x:cfRule>
  </x:conditionalFormatting>
  <x:conditionalFormatting sqref="G3:G17">
    <x:cfRule type="expression" dxfId="2" priority="2">
      <x:formula>G3="已完成"</x:formula>
    </x:cfRule>
    <x:cfRule type="expression" dxfId="1" priority="3">
      <x:formula>G3="进行中"</x:formula>
    </x:cfRule>
    <x:cfRule type="expression" dxfId="0" priority="4">
      <x:formula>G3="阻塞"</x:formula>
    </x:cfRule>
  </x:conditionalFormatting>
  <x:dataValidations count="2">
    <x:dataValidation type="list" sqref="F3:F17">
      <x:formula1>"P0,P1,P2"</x:formula1>
    </x:dataValidation>
    <x:dataValidation type="list" sqref="G3:G17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37bb1954748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3" hidden="0" customWidth="1"/>
    <x:col min="4" max="4" width="30" hidden="0" customWidth="1"/>
    <x:col min="5" max="5" width="34" hidden="0" customWidth="1"/>
    <x:col min="6" max="6" width="18" hidden="0" customWidth="1"/>
    <x:col min="7" max="7" width="10" hidden="0" customWidth="1"/>
    <x:col min="8" max="8" width="16" hidden="0" customWidth="1"/>
    <x:col min="9" max="9" width="34" hidden="0" customWidth="1"/>
    <x:col min="10" max="10" width="31" hidden="0" customWidth="1"/>
  </x:cols>
  <x:sheetData>
    <x:row r="1" ht="32" customHeight="1">
      <x:c r="A1" s="83" t="str">
        <x:v>第二周 Baseline 横向对比实施矩阵</x:v>
      </x:c>
      <x:c r="B1" s="83" t="str">
        <x:v>第二周 Baseline 横向对比实施矩阵</x:v>
      </x:c>
      <x:c r="C1" s="83" t="str">
        <x:v>第二周 Baseline 横向对比实施矩阵</x:v>
      </x:c>
      <x:c r="D1" s="83" t="str">
        <x:v>第二周 Baseline 横向对比实施矩阵</x:v>
      </x:c>
      <x:c r="E1" s="83" t="str">
        <x:v>第二周 Baseline 横向对比实施矩阵</x:v>
      </x:c>
      <x:c r="F1" s="83" t="str">
        <x:v>第二周 Baseline 横向对比实施矩阵</x:v>
      </x:c>
      <x:c r="G1" s="83" t="str">
        <x:v>第二周 Baseline 横向对比实施矩阵</x:v>
      </x:c>
      <x:c r="H1" s="83" t="str">
        <x:v>第二周 Baseline 横向对比实施矩阵</x:v>
      </x:c>
      <x:c r="I1" s="83" t="str">
        <x:v>第二周 Baseline 横向对比实施矩阵</x:v>
      </x:c>
      <x:c r="J1" s="83" t="str">
        <x:v>第二周 Baseline 横向对比实施矩阵</x:v>
      </x:c>
    </x:row>
    <x:row r="2" ht="32" customHeight="1">
      <x:c r="A2" s="92" t="str">
        <x:v>原则：先冻结公共数据底座和公平协议，再逐级实现 Hybrid → FinSage → RegulatoryRAG-ML → HiREC；完整 RegRAG Agent 本周仅冻结接口，第三周开发。</x:v>
      </x:c>
      <x:c r="B2" s="92" t="str">
        <x:v>原则：先冻结公共数据底座和公平协议，再逐级实现 Hybrid → FinSage → RegulatoryRAG-ML → HiREC；完整 RegRAG Agent 本周仅冻结接口，第三周开发。</x:v>
      </x:c>
      <x:c r="C2" s="92" t="str">
        <x:v>原则：先冻结公共数据底座和公平协议，再逐级实现 Hybrid → FinSage → RegulatoryRAG-ML → HiREC；完整 RegRAG Agent 本周仅冻结接口，第三周开发。</x:v>
      </x:c>
      <x:c r="D2" s="92" t="str">
        <x:v>原则：先冻结公共数据底座和公平协议，再逐级实现 Hybrid → FinSage → RegulatoryRAG-ML → HiREC；完整 RegRAG Agent 本周仅冻结接口，第三周开发。</x:v>
      </x:c>
      <x:c r="E2" s="92" t="str">
        <x:v>原则：先冻结公共数据底座和公平协议，再逐级实现 Hybrid → FinSage → RegulatoryRAG-ML → HiREC；完整 RegRAG Agent 本周仅冻结接口，第三周开发。</x:v>
      </x:c>
      <x:c r="F2" s="92" t="str">
        <x:v>原则：先冻结公共数据底座和公平协议，再逐级实现 Hybrid → FinSage → RegulatoryRAG-ML → HiREC；完整 RegRAG Agent 本周仅冻结接口，第三周开发。</x:v>
      </x:c>
      <x:c r="G2" s="92" t="str">
        <x:v>原则：先冻结公共数据底座和公平协议，再逐级实现 Hybrid → FinSage → RegulatoryRAG-ML → HiREC；完整 RegRAG Agent 本周仅冻结接口，第三周开发。</x:v>
      </x:c>
      <x:c r="H2" s="92" t="str">
        <x:v>原则：先冻结公共数据底座和公平协议，再逐级实现 Hybrid → FinSage → RegulatoryRAG-ML → HiREC；完整 RegRAG Agent 本周仅冻结接口，第三周开发。</x:v>
      </x:c>
      <x:c r="I2" s="92" t="str">
        <x:v>原则：先冻结公共数据底座和公平协议，再逐级实现 Hybrid → FinSage → RegulatoryRAG-ML → HiREC；完整 RegRAG Agent 本周仅冻结接口，第三周开发。</x:v>
      </x:c>
      <x:c r="J2" s="92" t="str">
        <x:v>原则：先冻结公共数据底座和公平协议，再逐级实现 Hybrid → FinSage → RegulatoryRAG-ML → HiREC；完整 RegRAG Agent 本周仅冻结接口，第三周开发。</x:v>
      </x:c>
    </x:row>
    <x:row r="4" ht="28" customHeight="1">
      <x:c r="A4" s="110" t="str">
        <x:v>方法</x:v>
      </x:c>
      <x:c r="B4" s="111" t="str">
        <x:v>方法定位</x:v>
      </x:c>
      <x:c r="C4" s="111" t="str">
        <x:v>本周核心链路</x:v>
      </x:c>
      <x:c r="D4" s="111" t="str">
        <x:v>相对Hybrid新增能力</x:v>
      </x:c>
      <x:c r="E4" s="111" t="str">
        <x:v>本周完成标准</x:v>
      </x:c>
      <x:c r="F4" s="111" t="str">
        <x:v>负责人</x:v>
      </x:c>
      <x:c r="G4" s="111" t="str">
        <x:v>优先级</x:v>
      </x:c>
      <x:c r="H4" s="111" t="str">
        <x:v>周末状态目标</x:v>
      </x:c>
      <x:c r="I4" s="111" t="str">
        <x:v>公平比较控制</x:v>
      </x:c>
      <x:c r="J4" s="112" t="str">
        <x:v>风险/边界</x:v>
      </x:c>
    </x:row>
    <x:row r="5" ht="78" customHeight="1">
      <x:c r="A5" s="128" t="str">
        <x:v>Hybrid RAG</x:v>
      </x:c>
      <x:c r="B5" s="129" t="str">
        <x:v>基础强基线</x:v>
      </x:c>
      <x:c r="C5" s="129" t="str">
        <x:v>EvidenceStore → BM25/Dense并行召回 → RRF → 通用Reranker → 可信生成</x:v>
      </x:c>
      <x:c r="D5" s="129" t="str">
        <x:v>无；作为统一下界</x:v>
      </x:c>
      <x:c r="E5" s="129" t="str">
        <x:v>完整跑通；至少20题日志；输出Recall@K、Evidence Hit、Citation Hit、P50/P95</x:v>
      </x:c>
      <x:c r="F5" s="129" t="str">
        <x:v>程仁杰</x:v>
      </x:c>
      <x:c r="G5" s="129" t="str">
        <x:v>P0</x:v>
      </x:c>
      <x:c r="H5" s="129" t="str">
        <x:v>可运行、可复现</x:v>
      </x:c>
      <x:c r="I5" s="129" t="str">
        <x:v>共享语料、Embedding、LLM、Top-K预算、Prompt基本约束和评测集</x:v>
      </x:c>
      <x:c r="J5" s="130" t="str">
        <x:v>必须第一个完成，后续方法均以其为增量</x:v>
      </x:c>
    </x:row>
    <x:row r="6" ht="78" customHeight="1">
      <x:c r="A6" s="140" t="str">
        <x:v>FinSage-Adapted</x:v>
      </x:c>
      <x:c r="B6" s="141" t="str">
        <x:v>金融领域工程基线</x:v>
      </x:c>
      <x:c r="C6" s="141" t="str">
        <x:v>BM25 + 正文Dense + 标题/摘要检索 + Metadata + Bundle Expansion + Reranker</x:v>
      </x:c>
      <x:c r="D6" s="141" t="str">
        <x:v>多路径金融检索与工程服务能力</x:v>
      </x:c>
      <x:c r="E6" s="141" t="str">
        <x:v>删除原场景硬编码；禁止无证据补答；明确HyDE开关；完成Smoke运行</x:v>
      </x:c>
      <x:c r="F6" s="141" t="str">
        <x:v>程仁杰</x:v>
      </x:c>
      <x:c r="G6" s="141" t="str">
        <x:v>P0</x:v>
      </x:c>
      <x:c r="H6" s="141" t="str">
        <x:v>MVP可运行</x:v>
      </x:c>
      <x:c r="I6" s="141" t="str">
        <x:v>与Hybrid共享EvidenceStore、Embedding、LLM、候选总预算</x:v>
      </x:c>
      <x:c r="J6" s="142" t="str">
        <x:v>公开代码与论文链路存在差异，必须记录实际实现</x:v>
      </x:c>
    </x:row>
    <x:row r="7" ht="78" customHeight="1">
      <x:c r="A7" s="128" t="str">
        <x:v>RegulatoryRAG-ML-Adapted</x:v>
      </x:c>
      <x:c r="B7" s="129" t="str">
        <x:v>监管可信检索基线</x:v>
      </x:c>
      <x:c r="C7" s="129" t="str">
        <x:v>BM25/Dense/RRF → 监管特征 → Score Filter/LTR-lite → 强制引用/Insufficient Evidence</x:v>
      </x:c>
      <x:c r="D7" s="129" t="str">
        <x:v>多证据排序、可信引用、拒答</x:v>
      </x:c>
      <x:c r="E7" s="129" t="str">
        <x:v>核心主链可运行；输出特征表、引用和拒答日志；不宣称完整复现最优LTR</x:v>
      </x:c>
      <x:c r="F7" s="129" t="str">
        <x:v>程仁杰</x:v>
      </x:c>
      <x:c r="G7" s="129" t="str">
        <x:v>P1</x:v>
      </x:c>
      <x:c r="H7" s="129" t="str">
        <x:v>MVP可运行</x:v>
      </x:c>
      <x:c r="I7" s="129" t="str">
        <x:v>候选池、Embedding、LLM、生成约束与Hybrid一致</x:v>
      </x:c>
      <x:c r="J7" s="130" t="str">
        <x:v>qrels不足时先做可解释特征与规则/轻量LTR，不冒充完整论文设置</x:v>
      </x:c>
    </x:row>
    <x:row r="8" ht="78" customHeight="1">
      <x:c r="A8" s="140" t="str">
        <x:v>HiREC-Lite</x:v>
      </x:c>
      <x:c r="B8" s="141" t="str">
        <x:v>关键Agentic强基线</x:v>
      </x:c>
      <x:c r="C8" s="141" t="str">
        <x:v>文档级检索 → 文件内证据检索 → Evidence Curation → 完整性判断 → 最多一次补充查询</x:v>
      </x:c>
      <x:c r="D8" s="141" t="str">
        <x:v>分层检索、证据补全和有限迭代</x:v>
      </x:c>
      <x:c r="E8" s="141" t="str">
        <x:v>支持Document Hit与Evidence Recall；补充查询Trace可复盘；最大补查1次</x:v>
      </x:c>
      <x:c r="F8" s="141" t="str">
        <x:v>程仁杰</x:v>
      </x:c>
      <x:c r="G8" s="141" t="str">
        <x:v>P1</x:v>
      </x:c>
      <x:c r="H8" s="141" t="str">
        <x:v>MVP可运行</x:v>
      </x:c>
      <x:c r="I8" s="141" t="str">
        <x:v>共享索引和总候选预算；额外检索次数、Token和延迟单独统计</x:v>
      </x:c>
      <x:c r="J8" s="142" t="str">
        <x:v>最关键对手；不能无限多跳或依赖私有训练数据</x:v>
      </x:c>
    </x:row>
    <x:row r="9" ht="78" customHeight="1">
      <x:c r="A9" s="134" t="str">
        <x:v>完整 RegRAG Agent</x:v>
      </x:c>
      <x:c r="B9" s="135" t="str">
        <x:v>本项目完整方法</x:v>
      </x:c>
      <x:c r="C9" s="135" t="str">
        <x:v>Query Router → 动态混合检索 → 制度/报表多跳 → Evidence Gate → Tool → Self-check</x:v>
      </x:c>
      <x:c r="D9" s="135" t="str">
        <x:v>动态路由、跨库多跳、工具执行、三态证据门控和自核</x:v>
      </x:c>
      <x:c r="E9" s="135" t="str">
        <x:v>本周仅冻结State、接口、Trace与第三周Issue；不要求完整代码</x:v>
      </x:c>
      <x:c r="F9" s="135" t="str">
        <x:v>陈伦禄（架构）/第三周全员</x:v>
      </x:c>
      <x:c r="G9" s="135" t="str">
        <x:v>P2</x:v>
      </x:c>
      <x:c r="H9" s="135" t="str">
        <x:v>接口冻结</x:v>
      </x:c>
      <x:c r="I9" s="135" t="str">
        <x:v>第三周起与四类Baseline共享全部控制变量</x:v>
      </x:c>
      <x:c r="J9" s="136" t="str">
        <x:v>底层Baseline未稳定前不得提前堆叠复杂多Agent</x:v>
      </x:c>
    </x:row>
    <x:row r="11" ht="24" customHeight="1">
      <x:c r="A11" s="148" t="str">
        <x:v>统一公平比较控制变量</x:v>
      </x:c>
      <x:c r="B11" s="148" t="str">
        <x:v>统一公平比较控制变量</x:v>
      </x:c>
      <x:c r="C11" s="148" t="str">
        <x:v>统一公平比较控制变量</x:v>
      </x:c>
      <x:c r="D11" s="148" t="str">
        <x:v>统一公平比较控制变量</x:v>
      </x:c>
      <x:c r="E11" s="148" t="str">
        <x:v>统一公平比较控制变量</x:v>
      </x:c>
      <x:c r="F11" s="148" t="str">
        <x:v>统一公平比较控制变量</x:v>
      </x:c>
      <x:c r="G11" s="148" t="str">
        <x:v>统一公平比较控制变量</x:v>
      </x:c>
      <x:c r="H11" s="148" t="str">
        <x:v>统一公平比较控制变量</x:v>
      </x:c>
      <x:c r="I11" s="148" t="str">
        <x:v>统一公平比较控制变量</x:v>
      </x:c>
      <x:c r="J11" s="148" t="str">
        <x:v>统一公平比较控制变量</x:v>
      </x:c>
    </x:row>
    <x:row r="12" ht="34" customHeight="1">
      <x:c r="A12" s="164" t="str">
        <x:v>1</x:v>
      </x:c>
      <x:c r="B12" s="153" t="str">
        <x:v>原始语料与解析结果</x:v>
      </x:c>
      <x:c r="C12" s="154" t="str">
        <x:v>所有方法使用同一版本 EvidenceStore 和相同排除/警告文件清单</x:v>
      </x:c>
    </x:row>
    <x:row r="13" ht="34" customHeight="1">
      <x:c r="A13" s="165" t="str">
        <x:v>2</x:v>
      </x:c>
      <x:c r="B13" s="114" t="str">
        <x:v>模型</x:v>
      </x:c>
      <x:c r="C13" s="115" t="str">
        <x:v>固定同一 Embedding、Reranker 与生成 LLM；方法特有模型需单独声明</x:v>
      </x:c>
    </x:row>
    <x:row r="14" ht="34" customHeight="1">
      <x:c r="A14" s="165" t="str">
        <x:v>3</x:v>
      </x:c>
      <x:c r="B14" s="114" t="str">
        <x:v>预算</x:v>
      </x:c>
      <x:c r="C14" s="115" t="str">
        <x:v>统一Top-K候选总预算；HiREC补查次数、LLM调用次数和Token单独记录</x:v>
      </x:c>
    </x:row>
    <x:row r="15" ht="34" customHeight="1">
      <x:c r="A15" s="165" t="str">
        <x:v>4</x:v>
      </x:c>
      <x:c r="B15" s="114" t="str">
        <x:v>评测集</x:v>
      </x:c>
      <x:c r="C15" s="115" t="str">
        <x:v>端到端使用CoreEval-80；检索使用RetrievalGold-40；同一数据划分与随机种子</x:v>
      </x:c>
    </x:row>
    <x:row r="16" ht="34" customHeight="1">
      <x:c r="A16" s="165" t="str">
        <x:v>5</x:v>
      </x:c>
      <x:c r="B16" s="114" t="str">
        <x:v>输出与指标</x:v>
      </x:c>
      <x:c r="C16" s="115" t="str">
        <x:v>统一AnswerResponse/Trace；记录Recall@5/10、nDCG@10、Citation Hit、答案准确率、P50/P95、Token</x:v>
      </x:c>
    </x:row>
    <x:row r="17" ht="34" customHeight="1">
      <x:c r="A17" s="166" t="str">
        <x:v>6</x:v>
      </x:c>
      <x:c r="B17" s="117" t="str">
        <x:v>实验协议</x:v>
      </x:c>
      <x:c r="C17" s="118" t="str">
        <x:v>主结论采用受控协议；论文原生设置仅作为补充，不混入主公平结论</x:v>
      </x:c>
    </x:row>
  </x:sheetData>
  <x:mergeCells>
    <x:mergeCell ref="A1:J1"/>
    <x:mergeCell ref="A2:J2"/>
    <x:mergeCell ref="A11:J11"/>
    <x:mergeCell ref="C12:J12"/>
    <x:mergeCell ref="C13:J13"/>
    <x:mergeCell ref="C14:J14"/>
    <x:mergeCell ref="C15:J15"/>
    <x:mergeCell ref="C16:J16"/>
    <x:mergeCell ref="C17:J17"/>
  </x:mergeCells>
  <x:dataValidations count="2">
    <x:dataValidation type="list" sqref="G5:G9">
      <x:formula1>"P0,P1,P2"</x:formula1>
    </x:dataValidation>
    <x:dataValidation type="list" sqref="H5:H9">
      <x:formula1>"未开始,进行中,MVP可运行,可运行、可复现,接口冻结,阻塞"</x:formula1>
    </x:dataValidation>
  </x:dataValidations>
  <x:pageMargins left="0.7" right="0.7" top="0.75" bottom="0.75" header="0.3" footer="0.3"/>
</x:worksheet>
</file>