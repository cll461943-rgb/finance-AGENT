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33316\Desktop\金融创新实践大赛\docx\第一周任务\"/>
    </mc:Choice>
  </mc:AlternateContent>
  <xr:revisionPtr revIDLastSave="0" documentId="13_ncr:1_{29C973BE-2211-47FF-9DDD-7EDB6889E7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周任务总表" sheetId="1" r:id="rId1"/>
    <sheet name="每日推进计划" sheetId="2" r:id="rId2"/>
    <sheet name="周验收清单" sheetId="3" r:id="rId3"/>
  </sheets>
  <calcPr calcId="191029"/>
</workbook>
</file>

<file path=xl/calcChain.xml><?xml version="1.0" encoding="utf-8"?>
<calcChain xmlns="http://schemas.openxmlformats.org/spreadsheetml/2006/main">
  <c r="G20" i="3" l="1"/>
  <c r="E20" i="3"/>
  <c r="C20" i="3"/>
  <c r="A20" i="3"/>
  <c r="M24" i="1"/>
  <c r="M23" i="1"/>
  <c r="M22" i="1"/>
  <c r="M21" i="1"/>
  <c r="J4" i="1" s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G4" i="1"/>
  <c r="D4" i="1"/>
  <c r="A4" i="1"/>
</calcChain>
</file>

<file path=xl/sharedStrings.xml><?xml version="1.0" encoding="utf-8"?>
<sst xmlns="http://schemas.openxmlformats.org/spreadsheetml/2006/main" count="337" uniqueCount="202">
  <si>
    <t>可信 RegRAG 项目｜第一周工作安排</t>
  </si>
  <si>
    <t>周期：2026-07-14 至 2026-07-20｜本周主题：业务场景冻结与开发工程启动｜报名截止：2026-08-17｜作品提交：2026-08-31 15:00</t>
  </si>
  <si>
    <t>任务总数</t>
  </si>
  <si>
    <t>P0 任务</t>
  </si>
  <si>
    <t>已完成</t>
  </si>
  <si>
    <t>总体完成率</t>
  </si>
  <si>
    <t>序号</t>
  </si>
  <si>
    <t>负责人</t>
  </si>
  <si>
    <t>角色定位</t>
  </si>
  <si>
    <t>任务类别</t>
  </si>
  <si>
    <t>具体任务</t>
  </si>
  <si>
    <t>开始日期</t>
  </si>
  <si>
    <t>截止日期</t>
  </si>
  <si>
    <t>协作人</t>
  </si>
  <si>
    <t>交付物</t>
  </si>
  <si>
    <t>验收标准</t>
  </si>
  <si>
    <t>优先级</t>
  </si>
  <si>
    <t>状态</t>
  </si>
  <si>
    <t>完成度</t>
  </si>
  <si>
    <t>备注</t>
  </si>
  <si>
    <t>陈伦禄</t>
  </si>
  <si>
    <t>队长协调、架构落地、辅助代码开发</t>
  </si>
  <si>
    <t>项目协调</t>
  </si>
  <si>
    <t>组织启动会，冻结三个核心业务场景，明确周验收机制与项目边界</t>
  </si>
  <si>
    <t>全员</t>
  </si>
  <si>
    <t>《三个核心业务场景确认稿》、周验收规则</t>
  </si>
  <si>
    <t>三个场景均明确“谁—在什么流程—遇到什么问题—系统如何介入—如何验收”</t>
  </si>
  <si>
    <t>P0</t>
  </si>
  <si>
    <t>未开始</t>
  </si>
  <si>
    <t>技术架构</t>
  </si>
  <si>
    <t>确定离线知识库构建与在线问答两条主链路，定义模块接口和工程目录</t>
  </si>
  <si>
    <t>罗佳佳、程仁杰</t>
  </si>
  <si>
    <t>系统架构图V1、接口说明、代码目录规范</t>
  </si>
  <si>
    <t>解析、检索、生成、日志模块边界清晰，可直接用于开发分工</t>
  </si>
  <si>
    <t>代码协同</t>
  </si>
  <si>
    <t>建立Git仓库、分支规范、代码评审流程，协助完成最简端到端运行入口</t>
  </si>
  <si>
    <t>Git仓库、README、baseline主入口</t>
  </si>
  <si>
    <t>单个制度文件可完成解析、索引、提问并返回答案与来源</t>
  </si>
  <si>
    <t>周验收</t>
  </si>
  <si>
    <t>主持周中联调与周末验收，汇总错例并拆解第二周任务</t>
  </si>
  <si>
    <t>第一周总结、错例清单、第二周Issue列表</t>
  </si>
  <si>
    <t>每名成员完成可展示交付物，形成明确的第二周开发清单</t>
  </si>
  <si>
    <t>P1</t>
  </si>
  <si>
    <t>罗佳佳</t>
  </si>
  <si>
    <t>在线问答与检索代码开发</t>
  </si>
  <si>
    <t>Baseline开发</t>
  </si>
  <si>
    <t>搭建“问题输入—文本切分—向量检索—大模型生成—来源返回”最简RAG链路</t>
  </si>
  <si>
    <t>Baseline问答代码、运行说明</t>
  </si>
  <si>
    <t>至少10个问题成功运行，并保留检索候选、分数和引用来源</t>
  </si>
  <si>
    <t>技术选型</t>
  </si>
  <si>
    <t>确定向量模型、向量索引/数据库、基础LLM调用方式及日志格式</t>
  </si>
  <si>
    <t>检索技术选型说明</t>
  </si>
  <si>
    <t>选型说明包含优缺点、部署方式、成本与替代方案</t>
  </si>
  <si>
    <t>接口预留</t>
  </si>
  <si>
    <t>定义查询对象、候选证据、答案与引用的数据结构，预留分类、路由和自核接口</t>
  </si>
  <si>
    <t>程仁杰</t>
  </si>
  <si>
    <t>查询侧JSON Schema、接口样例</t>
  </si>
  <si>
    <t>可与文档解析输出直接对接，无需人工格式转换</t>
  </si>
  <si>
    <t>场景测试</t>
  </si>
  <si>
    <t>使用三个业务场景问题运行Baseline，记录漏召回、错引用和无依据回答</t>
  </si>
  <si>
    <t>李静雯、杨怡睿</t>
  </si>
  <si>
    <t>Baseline结果表、检索错例清单</t>
  </si>
  <si>
    <t>每类场景至少3个问题，有可复盘的检索与生成日志</t>
  </si>
  <si>
    <t>文档解析与知识库代码开发</t>
  </si>
  <si>
    <t>数据清点</t>
  </si>
  <si>
    <t>清点Word、PDF、Excel文件，核对Manifest字段并标记扫描件和复杂表格</t>
  </si>
  <si>
    <t>杨怡睿</t>
  </si>
  <si>
    <t>数据文件清单、解析难度标签</t>
  </si>
  <si>
    <t>文件数量、类型、来源、Manifest字段和异常文件均有记录</t>
  </si>
  <si>
    <t>解析PoC</t>
  </si>
  <si>
    <t>分别选择1份Word、1份PDF、1份复杂Excel完成试解析</t>
  </si>
  <si>
    <t>三类文件解析Demo</t>
  </si>
  <si>
    <t>Word保留层级与条款；PDF保留页码；Excel保留Sheet、表头、单元格和单位</t>
  </si>
  <si>
    <t>证据结构</t>
  </si>
  <si>
    <t>设计统一证据JSON Schema，包含条款、段落、表格单元格及来源元数据</t>
  </si>
  <si>
    <t>统一证据Schema、样例JSON</t>
  </si>
  <si>
    <t>能够被检索模块直接消费，并支持条款级/单元格级证据定位</t>
  </si>
  <si>
    <t>质量记录</t>
  </si>
  <si>
    <t>建立解析质量检查项，记录标题、条款号、页码、表头、合并单元格、单位和期间是否保留</t>
  </si>
  <si>
    <t>李静雯</t>
  </si>
  <si>
    <t>解析质量检查表、失败样例清单</t>
  </si>
  <si>
    <t>问题可定位到具体文件和具体解析环节，并可转为第二周Issue</t>
  </si>
  <si>
    <t>项目文档编写与业务场景设计</t>
  </si>
  <si>
    <t>业务流程</t>
  </si>
  <si>
    <t>围绕三个核心场景编写“现有流程—系统介入—价值指标”三段式说明</t>
  </si>
  <si>
    <t>三个业务场景详细说明</t>
  </si>
  <si>
    <t>每个场景均明确角色、工作节点、输入、输出、风险与量化价值</t>
  </si>
  <si>
    <t>用户故事</t>
  </si>
  <si>
    <t>形成不少于10条用户故事，覆盖制度查询、表格取数和跨文件判断</t>
  </si>
  <si>
    <t>用户故事清单</t>
  </si>
  <si>
    <t>用户故事可直接转为功能需求和测试用例</t>
  </si>
  <si>
    <t>项目书修订</t>
  </si>
  <si>
    <t>修订项目书背景、赛题理解、业务场景、项目定位、MVP和计划安排</t>
  </si>
  <si>
    <t>陈伦禄、杨怡睿</t>
  </si>
  <si>
    <t>项目书V1.1、术语统一表</t>
  </si>
  <si>
    <t>删除未实现的确定性表述，统一使用“拟构建/计划实现/预期达到”</t>
  </si>
  <si>
    <t>参赛报名、需求验收与材料管理</t>
  </si>
  <si>
    <t>参赛报名</t>
  </si>
  <si>
    <t>收集团队与指导教师信息，核查团队名称、赛题编号、学校审核、保密承诺书和数据领取状态</t>
  </si>
  <si>
    <t>报名检查表、信息收集表、状态跟踪表</t>
  </si>
  <si>
    <t>报名材料齐全、匿名要求已核查，并尽可能完成正式报名</t>
  </si>
  <si>
    <t>验收设计</t>
  </si>
  <si>
    <t>为制度查询、表格取数、跨文件判断建立输入—输出—错误条件—成功标准验收表</t>
  </si>
  <si>
    <t>三类业务场景验收表</t>
  </si>
  <si>
    <t>每类场景都有可执行的功能与证据验收标准</t>
  </si>
  <si>
    <t>评测问题</t>
  </si>
  <si>
    <t>根据官方五类题型整理不少于30条问题，标注预期答案、证据位置、澄清或拒答要求</t>
  </si>
  <si>
    <t>李静雯、罗佳佳</t>
  </si>
  <si>
    <t>30条评测问题初稿</t>
  </si>
  <si>
    <t>五类题型均覆盖，问题可用于Baseline和后续Agent评测</t>
  </si>
  <si>
    <t>材料管理</t>
  </si>
  <si>
    <t>建立共享目录、版本命名规范、会议纪要模板和提交材料清单</t>
  </si>
  <si>
    <t>文档版本规范、会议纪要模板、材料清单</t>
  </si>
  <si>
    <t>所有文档可追踪版本，正式材料无学校Logo、校名等匿名风险</t>
  </si>
  <si>
    <t>第一周每日推进计划（2026-07-14 至 2026-07-20）</t>
  </si>
  <si>
    <t>日期</t>
  </si>
  <si>
    <t>阶段重点</t>
  </si>
  <si>
    <t>当日共同验收</t>
  </si>
  <si>
    <t>项目启动与场景冻结</t>
  </si>
  <si>
    <t>主持启动会；冻结三类业务场景；建立项目看板和代码规范</t>
  </si>
  <si>
    <t>完成Baseline技术选型；搭建仓库环境</t>
  </si>
  <si>
    <t>清点数据文件与Manifest字段</t>
  </si>
  <si>
    <t>形成三个场景框架；开始现有流程梳理</t>
  </si>
  <si>
    <t>启动报名信息收集；建立报名检查表</t>
  </si>
  <si>
    <t>三个场景、人员分工、验收机制全部确认</t>
  </si>
  <si>
    <t>数据与需求结构化</t>
  </si>
  <si>
    <t>定义系统模块、接口和统一输出Schema</t>
  </si>
  <si>
    <t>确定向量模型、索引方式和查询对象</t>
  </si>
  <si>
    <t>选择Word/PDF/Excel样例；开始试解析</t>
  </si>
  <si>
    <t>完成用户角色与不少于5条用户故事</t>
  </si>
  <si>
    <t>建立业务场景验收表；整理五类题型框架</t>
  </si>
  <si>
    <t>数据清单、Schema初稿、用户故事初稿</t>
  </si>
  <si>
    <t>解析与Baseline开发</t>
  </si>
  <si>
    <t>协助接口联调；审核解析和检索数据结构</t>
  </si>
  <si>
    <t>实现向量检索与来源返回</t>
  </si>
  <si>
    <t>完成三类文件解析PoC；输出样例JSON</t>
  </si>
  <si>
    <t>修订项目书背景、赛题理解与业务场景</t>
  </si>
  <si>
    <t>完成共享目录、版本规范和会议纪要模板</t>
  </si>
  <si>
    <t>三类文件均有解析结果，问答链路可启动</t>
  </si>
  <si>
    <t>第一次端到端联调</t>
  </si>
  <si>
    <t>组织联调；解决接口不一致问题</t>
  </si>
  <si>
    <t>跑通问题—检索—生成—引用链路</t>
  </si>
  <si>
    <t>将解析结果接入索引；检查条款和表头保留</t>
  </si>
  <si>
    <t>提供真实场景问题并核对输出合理性</t>
  </si>
  <si>
    <t>补充评测问题与预期证据位置</t>
  </si>
  <si>
    <t>单个制度文件可完成解析、索引、提问和引用</t>
  </si>
  <si>
    <t>场景测试与报名核查</t>
  </si>
  <si>
    <t>检查项目进度和边界；汇总问题</t>
  </si>
  <si>
    <t>运行三类场景问题并保存日志</t>
  </si>
  <si>
    <t>建立解析质量检查表；整理失败样例</t>
  </si>
  <si>
    <t>完成10条用户故事和业务流程说明</t>
  </si>
  <si>
    <t>完成报名材料交叉检查；完善验收表</t>
  </si>
  <si>
    <t>形成首批错例、报名材料基本齐全</t>
  </si>
  <si>
    <t>成果整理与问题修复</t>
  </si>
  <si>
    <t>绘制架构图V1；拆解修复任务</t>
  </si>
  <si>
    <t>修复检索和引用问题；完善README</t>
  </si>
  <si>
    <t>修复解析问题；形成第二周解析Issue</t>
  </si>
  <si>
    <t>完成项目书V1.1和术语统一表</t>
  </si>
  <si>
    <t>完成30条评测问题初稿和材料清单</t>
  </si>
  <si>
    <t>架构、代码、文档、评测四类成果可展示</t>
  </si>
  <si>
    <t>周验收与第二周规划</t>
  </si>
  <si>
    <t>主持验收会；形成第一周总结和第二周Issue</t>
  </si>
  <si>
    <t>演示Baseline与检索日志</t>
  </si>
  <si>
    <t>演示三类文件解析与证据Schema</t>
  </si>
  <si>
    <t>汇报业务场景和项目书修订</t>
  </si>
  <si>
    <t>汇报报名状态、评测问题和验收标准</t>
  </si>
  <si>
    <t>每人完成可展示交付物；第二周任务明确</t>
  </si>
  <si>
    <t>第一周交付物与验收清单</t>
  </si>
  <si>
    <t>验收要点</t>
  </si>
  <si>
    <t>三个核心业务场景确认稿</t>
  </si>
  <si>
    <t>明确用户、业务流程、痛点、系统介入点和验收标准</t>
  </si>
  <si>
    <t>系统架构图V1与接口说明</t>
  </si>
  <si>
    <t>离线/在线链路清晰，模块输入输出可开发</t>
  </si>
  <si>
    <t>Baseline问答代码与README</t>
  </si>
  <si>
    <t>至少10个问题可运行，返回答案和来源</t>
  </si>
  <si>
    <t>包含模型、索引、部署、成本及备选方案</t>
  </si>
  <si>
    <t>数据文件清单与Manifest核对表</t>
  </si>
  <si>
    <t>文件类型、数量、来源和异常均记录</t>
  </si>
  <si>
    <t>Word/PDF/Excel解析Demo</t>
  </si>
  <si>
    <t>条款、页码、Sheet、表头、单元格、单位保留</t>
  </si>
  <si>
    <t>统一证据JSON Schema</t>
  </si>
  <si>
    <t>支持条款级、段落级、单元格级证据</t>
  </si>
  <si>
    <t>形成现有流程—系统介入—价值指标三段式说明</t>
  </si>
  <si>
    <t>不少于10条用户故事</t>
  </si>
  <si>
    <t>可直接转为功能需求和测试用例</t>
  </si>
  <si>
    <t>项目书V1.1与术语统一表</t>
  </si>
  <si>
    <t>用语统一，未将设计写成已实现结果</t>
  </si>
  <si>
    <t>参赛报名检查表与状态跟踪</t>
  </si>
  <si>
    <t>人员、指导教师、团队名、赛题、保密承诺和数据领取状态完整</t>
  </si>
  <si>
    <t>包含输入、必须返回、错误条件和成功标准</t>
  </si>
  <si>
    <t>不少于30条评测问题初稿</t>
  </si>
  <si>
    <t>五类题型均覆盖，标注预期答案和证据位置</t>
  </si>
  <si>
    <t>第一周错例清单</t>
  </si>
  <si>
    <t>至少覆盖漏召回、错引用、解析失败和无依据回答</t>
  </si>
  <si>
    <t>第一周总结与第二周Issue</t>
  </si>
  <si>
    <t>每项问题有负责人、优先级、截止时间和验收条件</t>
  </si>
  <si>
    <t>交付物总数</t>
  </si>
  <si>
    <t>P0数量</t>
  </si>
  <si>
    <t>完成率</t>
  </si>
  <si>
    <t>程仁杰</t>
    <phoneticPr fontId="10" type="noConversion"/>
  </si>
  <si>
    <t>罗佳佳、罗佳佳</t>
  </si>
  <si>
    <t>罗佳佳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</si>
</sst>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>
    <font>
      <sz val="11"/>
      <name val="Carlito"/>
    </font>
    <font>
      <b/>
      <sz val="18"/>
      <color rgb="FFFFFFFF"/>
      <name val="Carlito"/>
    </font>
    <font>
      <b/>
      <sz val="10"/>
      <color rgb="FF17365D"/>
      <name val="Carlito"/>
    </font>
    <font>
      <b/>
      <sz val="10"/>
      <color rgb="FFFFFFFF"/>
      <name val="Carlito"/>
    </font>
    <font>
      <b/>
      <sz val="16"/>
      <color rgb="FF17365D"/>
      <name val="Carlito"/>
    </font>
    <font>
      <sz val="9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4"/>
      <color rgb="FF17365D"/>
      <name val="Carlito"/>
    </font>
    <font>
      <sz val="11"/>
      <name val="Carlito"/>
    </font>
    <font>
      <sz val="9"/>
      <name val="宋体"/>
      <family val="3"/>
      <charset val="134"/>
    </font>
    <font>
      <sz val="9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7FAF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52">
    <xf numFmtId="0" fontId="0" fillId="0" borderId="0" xfId="0"/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vertical="center" wrapText="1"/>
    </xf>
    <xf numFmtId="0" fontId="5" fillId="0" borderId="9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11" xfId="1" applyFont="1" applyBorder="1" applyAlignment="1">
      <alignment vertical="center" wrapText="1"/>
    </xf>
    <xf numFmtId="0" fontId="5" fillId="0" borderId="13" xfId="1" applyFont="1" applyBorder="1" applyAlignment="1">
      <alignment vertical="center" wrapText="1"/>
    </xf>
    <xf numFmtId="0" fontId="5" fillId="0" borderId="14" xfId="1" applyFont="1" applyBorder="1" applyAlignment="1">
      <alignment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9" fontId="5" fillId="0" borderId="8" xfId="1" applyNumberFormat="1" applyFont="1" applyBorder="1" applyAlignment="1">
      <alignment horizontal="center" vertical="center" wrapText="1"/>
    </xf>
    <xf numFmtId="9" fontId="5" fillId="0" borderId="0" xfId="1" applyNumberFormat="1" applyFont="1" applyAlignment="1">
      <alignment horizontal="center" vertical="center" wrapText="1"/>
    </xf>
    <xf numFmtId="9" fontId="5" fillId="0" borderId="13" xfId="1" applyNumberFormat="1" applyFont="1" applyBorder="1" applyAlignment="1">
      <alignment horizontal="center" vertical="center" wrapText="1"/>
    </xf>
    <xf numFmtId="176" fontId="5" fillId="0" borderId="8" xfId="1" applyNumberFormat="1" applyFont="1" applyBorder="1" applyAlignment="1">
      <alignment horizontal="center" vertical="center" wrapText="1"/>
    </xf>
    <xf numFmtId="176" fontId="5" fillId="0" borderId="0" xfId="1" applyNumberFormat="1" applyFont="1" applyAlignment="1">
      <alignment horizontal="center" vertical="center" wrapText="1"/>
    </xf>
    <xf numFmtId="176" fontId="5" fillId="0" borderId="13" xfId="1" applyNumberFormat="1" applyFont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176" fontId="5" fillId="0" borderId="10" xfId="1" applyNumberFormat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176" fontId="5" fillId="7" borderId="7" xfId="1" applyNumberFormat="1" applyFont="1" applyFill="1" applyBorder="1" applyAlignment="1">
      <alignment horizontal="center" vertical="center" wrapText="1"/>
    </xf>
    <xf numFmtId="0" fontId="5" fillId="7" borderId="8" xfId="1" applyFont="1" applyFill="1" applyBorder="1" applyAlignment="1">
      <alignment horizontal="center" vertical="center" wrapText="1"/>
    </xf>
    <xf numFmtId="0" fontId="5" fillId="7" borderId="8" xfId="1" applyFont="1" applyFill="1" applyBorder="1" applyAlignment="1">
      <alignment vertical="center" wrapText="1"/>
    </xf>
    <xf numFmtId="0" fontId="5" fillId="7" borderId="9" xfId="1" applyFont="1" applyFill="1" applyBorder="1" applyAlignment="1">
      <alignment horizontal="center" vertical="center" wrapText="1"/>
    </xf>
    <xf numFmtId="176" fontId="5" fillId="7" borderId="10" xfId="1" applyNumberFormat="1" applyFont="1" applyFill="1" applyBorder="1" applyAlignment="1">
      <alignment horizontal="center" vertical="center" wrapText="1"/>
    </xf>
    <xf numFmtId="0" fontId="5" fillId="7" borderId="0" xfId="1" applyFont="1" applyFill="1" applyAlignment="1">
      <alignment horizontal="center" vertical="center" wrapText="1"/>
    </xf>
    <xf numFmtId="0" fontId="5" fillId="7" borderId="0" xfId="1" applyFont="1" applyFill="1" applyAlignment="1">
      <alignment vertical="center" wrapText="1"/>
    </xf>
    <xf numFmtId="0" fontId="5" fillId="7" borderId="11" xfId="1" applyFont="1" applyFill="1" applyBorder="1" applyAlignment="1">
      <alignment horizontal="center" vertical="center" wrapText="1"/>
    </xf>
    <xf numFmtId="176" fontId="5" fillId="7" borderId="12" xfId="1" applyNumberFormat="1" applyFont="1" applyFill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13" xfId="1" applyFont="1" applyFill="1" applyBorder="1" applyAlignment="1">
      <alignment vertical="center" wrapText="1"/>
    </xf>
    <xf numFmtId="0" fontId="5" fillId="7" borderId="14" xfId="1" applyFont="1" applyFill="1" applyBorder="1" applyAlignment="1">
      <alignment horizontal="center" vertical="center" wrapText="1"/>
    </xf>
    <xf numFmtId="0" fontId="7" fillId="5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center"/>
    </xf>
    <xf numFmtId="0" fontId="4" fillId="6" borderId="6" xfId="1" applyFont="1" applyFill="1" applyBorder="1" applyAlignment="1">
      <alignment horizontal="center" vertical="center"/>
    </xf>
    <xf numFmtId="9" fontId="4" fillId="6" borderId="4" xfId="1" applyNumberFormat="1" applyFont="1" applyFill="1" applyBorder="1" applyAlignment="1">
      <alignment horizontal="center" vertical="center"/>
    </xf>
    <xf numFmtId="9" fontId="4" fillId="6" borderId="5" xfId="1" applyNumberFormat="1" applyFont="1" applyFill="1" applyBorder="1" applyAlignment="1">
      <alignment horizontal="center" vertical="center"/>
    </xf>
    <xf numFmtId="9" fontId="4" fillId="6" borderId="6" xfId="1" applyNumberFormat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9" fontId="8" fillId="6" borderId="0" xfId="1" applyNumberFormat="1" applyFont="1" applyFill="1" applyAlignment="1">
      <alignment horizontal="center" vertical="center"/>
    </xf>
    <xf numFmtId="0" fontId="11" fillId="0" borderId="0" xfId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9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ill>
        <patternFill patternType="solid">
          <bgColor rgb="FFF7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rstWeekTasks" displayName="FirstWeekTasks" ref="A5:N24">
  <tableColumns count="14">
    <tableColumn id="1" xr3:uid="{00000000-0010-0000-0000-000001000000}" name="序号"/>
    <tableColumn id="2" xr3:uid="{00000000-0010-0000-0000-000002000000}" name="负责人"/>
    <tableColumn id="3" xr3:uid="{00000000-0010-0000-0000-000003000000}" name="角色定位"/>
    <tableColumn id="4" xr3:uid="{00000000-0010-0000-0000-000004000000}" name="任务类别"/>
    <tableColumn id="5" xr3:uid="{00000000-0010-0000-0000-000005000000}" name="具体任务"/>
    <tableColumn id="6" xr3:uid="{00000000-0010-0000-0000-000006000000}" name="开始日期"/>
    <tableColumn id="7" xr3:uid="{00000000-0010-0000-0000-000007000000}" name="截止日期"/>
    <tableColumn id="8" xr3:uid="{00000000-0010-0000-0000-000008000000}" name="协作人"/>
    <tableColumn id="9" xr3:uid="{00000000-0010-0000-0000-000009000000}" name="交付物"/>
    <tableColumn id="10" xr3:uid="{00000000-0010-0000-0000-00000A000000}" name="验收标准"/>
    <tableColumn id="11" xr3:uid="{00000000-0010-0000-0000-00000B000000}" name="优先级"/>
    <tableColumn id="12" xr3:uid="{00000000-0010-0000-0000-00000C000000}" name="状态"/>
    <tableColumn id="13" xr3:uid="{00000000-0010-0000-0000-00000D000000}" name="完成度"/>
    <tableColumn id="14" xr3:uid="{00000000-0010-0000-0000-00000E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Plan" displayName="DailyPlan" ref="A2:H9">
  <tableColumns count="8">
    <tableColumn id="1" xr3:uid="{00000000-0010-0000-0100-000001000000}" name="日期"/>
    <tableColumn id="2" xr3:uid="{00000000-0010-0000-0100-000002000000}" name="阶段重点"/>
    <tableColumn id="3" xr3:uid="{00000000-0010-0000-0100-000003000000}" name="陈伦禄"/>
    <tableColumn id="4" xr3:uid="{00000000-0010-0000-0100-000004000000}" name="罗佳佳"/>
    <tableColumn id="5" xr3:uid="{00000000-0010-0000-0100-000005000000}" name="程仁杰"/>
    <tableColumn id="6" xr3:uid="{00000000-0010-0000-0100-000006000000}" name="李静雯"/>
    <tableColumn id="7" xr3:uid="{00000000-0010-0000-0100-000007000000}" name="杨怡睿"/>
    <tableColumn id="8" xr3:uid="{00000000-0010-0000-0100-000008000000}" name="当日共同验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eklyAcceptance" displayName="WeeklyAcceptance" ref="A2:H17">
  <tableColumns count="8">
    <tableColumn id="1" xr3:uid="{00000000-0010-0000-0200-000001000000}" name="序号"/>
    <tableColumn id="2" xr3:uid="{00000000-0010-0000-0200-000002000000}" name="交付物"/>
    <tableColumn id="3" xr3:uid="{00000000-0010-0000-0200-000003000000}" name="负责人"/>
    <tableColumn id="4" xr3:uid="{00000000-0010-0000-0200-000004000000}" name="截止日期"/>
    <tableColumn id="5" xr3:uid="{00000000-0010-0000-0200-000005000000}" name="验收要点"/>
    <tableColumn id="6" xr3:uid="{00000000-0010-0000-0200-000006000000}" name="优先级"/>
    <tableColumn id="7" xr3:uid="{00000000-0010-0000-0200-000007000000}" name="状态"/>
    <tableColumn id="8" xr3:uid="{00000000-0010-0000-0200-000008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opLeftCell="A7" workbookViewId="0">
      <selection activeCell="B11" sqref="B11"/>
    </sheetView>
  </sheetViews>
  <sheetFormatPr defaultRowHeight="13.8"/>
  <cols>
    <col min="1" max="1" width="6" customWidth="1"/>
    <col min="2" max="2" width="10" customWidth="1"/>
    <col min="3" max="3" width="22" customWidth="1"/>
    <col min="4" max="4" width="12" customWidth="1"/>
    <col min="5" max="5" width="38" customWidth="1"/>
    <col min="6" max="7" width="12" customWidth="1"/>
    <col min="8" max="8" width="14" customWidth="1"/>
    <col min="9" max="9" width="28" customWidth="1"/>
    <col min="10" max="10" width="34" customWidth="1"/>
    <col min="11" max="11" width="9" customWidth="1"/>
    <col min="12" max="13" width="10" customWidth="1"/>
    <col min="14" max="14" width="18" customWidth="1"/>
  </cols>
  <sheetData>
    <row r="1" spans="1:14" ht="27.15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22.35" customHeight="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ht="17.55" customHeight="1">
      <c r="A3" s="40" t="s">
        <v>2</v>
      </c>
      <c r="B3" s="40"/>
      <c r="C3" s="40"/>
      <c r="D3" s="40" t="s">
        <v>3</v>
      </c>
      <c r="E3" s="40"/>
      <c r="F3" s="40"/>
      <c r="G3" s="40" t="s">
        <v>4</v>
      </c>
      <c r="H3" s="40"/>
      <c r="I3" s="40"/>
      <c r="J3" s="40" t="s">
        <v>5</v>
      </c>
      <c r="K3" s="40"/>
      <c r="L3" s="40"/>
      <c r="M3" s="40"/>
      <c r="N3" s="40"/>
    </row>
    <row r="4" spans="1:14" ht="24" customHeight="1">
      <c r="A4" s="41">
        <f>COUNTA(A6:A24)</f>
        <v>19</v>
      </c>
      <c r="B4" s="42"/>
      <c r="C4" s="43"/>
      <c r="D4" s="41">
        <f>COUNTIF(K6:K24,"P0")</f>
        <v>13</v>
      </c>
      <c r="E4" s="42"/>
      <c r="F4" s="43"/>
      <c r="G4" s="41">
        <f>COUNTIF(L6:L24,"已完成")</f>
        <v>0</v>
      </c>
      <c r="H4" s="42"/>
      <c r="I4" s="43"/>
      <c r="J4" s="44">
        <f>AVERAGE(M6:M24)</f>
        <v>0</v>
      </c>
      <c r="K4" s="45"/>
      <c r="L4" s="45"/>
      <c r="M4" s="45"/>
      <c r="N4" s="46"/>
    </row>
    <row r="5" spans="1:14" ht="24" customHeight="1">
      <c r="A5" s="1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3" t="s">
        <v>19</v>
      </c>
    </row>
    <row r="6" spans="1:14" ht="22.8">
      <c r="A6" s="10">
        <v>1</v>
      </c>
      <c r="B6" s="11" t="s">
        <v>20</v>
      </c>
      <c r="C6" s="11" t="s">
        <v>21</v>
      </c>
      <c r="D6" s="11" t="s">
        <v>22</v>
      </c>
      <c r="E6" s="4" t="s">
        <v>23</v>
      </c>
      <c r="F6" s="19">
        <v>46217</v>
      </c>
      <c r="G6" s="19">
        <v>46217</v>
      </c>
      <c r="H6" s="11" t="s">
        <v>24</v>
      </c>
      <c r="I6" s="4" t="s">
        <v>25</v>
      </c>
      <c r="J6" s="4" t="s">
        <v>26</v>
      </c>
      <c r="K6" s="11" t="s">
        <v>27</v>
      </c>
      <c r="L6" s="11" t="s">
        <v>28</v>
      </c>
      <c r="M6" s="16">
        <f t="shared" ref="M6:M24" si="0">IF(L6="已完成",1,IF(L6="进行中",0.5,IF(L6="阻塞",0.25,0)))</f>
        <v>0</v>
      </c>
      <c r="N6" s="5"/>
    </row>
    <row r="7" spans="1:14" ht="22.8">
      <c r="A7" s="12">
        <v>2</v>
      </c>
      <c r="B7" s="13" t="s">
        <v>20</v>
      </c>
      <c r="C7" s="13" t="s">
        <v>21</v>
      </c>
      <c r="D7" s="13" t="s">
        <v>29</v>
      </c>
      <c r="E7" s="6" t="s">
        <v>30</v>
      </c>
      <c r="F7" s="20">
        <v>46217</v>
      </c>
      <c r="G7" s="20">
        <v>46219</v>
      </c>
      <c r="H7" s="13" t="s">
        <v>200</v>
      </c>
      <c r="I7" s="6" t="s">
        <v>32</v>
      </c>
      <c r="J7" s="6" t="s">
        <v>33</v>
      </c>
      <c r="K7" s="13" t="s">
        <v>27</v>
      </c>
      <c r="L7" s="13" t="s">
        <v>28</v>
      </c>
      <c r="M7" s="17">
        <f t="shared" si="0"/>
        <v>0</v>
      </c>
      <c r="N7" s="7"/>
    </row>
    <row r="8" spans="1:14" ht="22.8">
      <c r="A8" s="12">
        <v>3</v>
      </c>
      <c r="B8" s="13" t="s">
        <v>20</v>
      </c>
      <c r="C8" s="13" t="s">
        <v>21</v>
      </c>
      <c r="D8" s="13" t="s">
        <v>34</v>
      </c>
      <c r="E8" s="6" t="s">
        <v>35</v>
      </c>
      <c r="F8" s="20">
        <v>46217</v>
      </c>
      <c r="G8" s="20">
        <v>46220</v>
      </c>
      <c r="H8" s="13" t="s">
        <v>200</v>
      </c>
      <c r="I8" s="6" t="s">
        <v>36</v>
      </c>
      <c r="J8" s="6" t="s">
        <v>37</v>
      </c>
      <c r="K8" s="13" t="s">
        <v>27</v>
      </c>
      <c r="L8" s="13" t="s">
        <v>28</v>
      </c>
      <c r="M8" s="17">
        <f t="shared" si="0"/>
        <v>0</v>
      </c>
      <c r="N8" s="7"/>
    </row>
    <row r="9" spans="1:14" ht="22.8">
      <c r="A9" s="12">
        <v>4</v>
      </c>
      <c r="B9" s="13" t="s">
        <v>20</v>
      </c>
      <c r="C9" s="13" t="s">
        <v>21</v>
      </c>
      <c r="D9" s="13" t="s">
        <v>38</v>
      </c>
      <c r="E9" s="6" t="s">
        <v>39</v>
      </c>
      <c r="F9" s="20">
        <v>46220</v>
      </c>
      <c r="G9" s="20">
        <v>46223</v>
      </c>
      <c r="H9" s="13" t="s">
        <v>24</v>
      </c>
      <c r="I9" s="6" t="s">
        <v>40</v>
      </c>
      <c r="J9" s="6" t="s">
        <v>41</v>
      </c>
      <c r="K9" s="13" t="s">
        <v>42</v>
      </c>
      <c r="L9" s="13" t="s">
        <v>28</v>
      </c>
      <c r="M9" s="17">
        <f t="shared" si="0"/>
        <v>0</v>
      </c>
      <c r="N9" s="7"/>
    </row>
    <row r="10" spans="1:14" ht="22.8">
      <c r="A10" s="12">
        <v>5</v>
      </c>
      <c r="B10" s="51" t="s">
        <v>199</v>
      </c>
      <c r="C10" s="13" t="s">
        <v>44</v>
      </c>
      <c r="D10" s="13" t="s">
        <v>45</v>
      </c>
      <c r="E10" s="6" t="s">
        <v>46</v>
      </c>
      <c r="F10" s="20">
        <v>46217</v>
      </c>
      <c r="G10" s="20">
        <v>46220</v>
      </c>
      <c r="H10" s="13" t="s">
        <v>20</v>
      </c>
      <c r="I10" s="6" t="s">
        <v>47</v>
      </c>
      <c r="J10" s="6" t="s">
        <v>48</v>
      </c>
      <c r="K10" s="13" t="s">
        <v>27</v>
      </c>
      <c r="L10" s="13" t="s">
        <v>28</v>
      </c>
      <c r="M10" s="17">
        <f t="shared" si="0"/>
        <v>0</v>
      </c>
      <c r="N10" s="7"/>
    </row>
    <row r="11" spans="1:14" ht="22.8">
      <c r="A11" s="12">
        <v>6</v>
      </c>
      <c r="B11" s="51" t="s">
        <v>199</v>
      </c>
      <c r="C11" s="13" t="s">
        <v>44</v>
      </c>
      <c r="D11" s="13" t="s">
        <v>49</v>
      </c>
      <c r="E11" s="6" t="s">
        <v>50</v>
      </c>
      <c r="F11" s="20">
        <v>46217</v>
      </c>
      <c r="G11" s="20">
        <v>46218</v>
      </c>
      <c r="H11" s="13" t="s">
        <v>20</v>
      </c>
      <c r="I11" s="6" t="s">
        <v>51</v>
      </c>
      <c r="J11" s="6" t="s">
        <v>52</v>
      </c>
      <c r="K11" s="13" t="s">
        <v>27</v>
      </c>
      <c r="L11" s="13" t="s">
        <v>28</v>
      </c>
      <c r="M11" s="17">
        <f t="shared" si="0"/>
        <v>0</v>
      </c>
      <c r="N11" s="7"/>
    </row>
    <row r="12" spans="1:14" ht="22.8">
      <c r="A12" s="12">
        <v>7</v>
      </c>
      <c r="B12" s="51" t="s">
        <v>199</v>
      </c>
      <c r="C12" s="13" t="s">
        <v>44</v>
      </c>
      <c r="D12" s="13" t="s">
        <v>53</v>
      </c>
      <c r="E12" s="6" t="s">
        <v>54</v>
      </c>
      <c r="F12" s="20">
        <v>46218</v>
      </c>
      <c r="G12" s="20">
        <v>46221</v>
      </c>
      <c r="H12" s="13" t="s">
        <v>43</v>
      </c>
      <c r="I12" s="6" t="s">
        <v>56</v>
      </c>
      <c r="J12" s="6" t="s">
        <v>57</v>
      </c>
      <c r="K12" s="13" t="s">
        <v>42</v>
      </c>
      <c r="L12" s="13" t="s">
        <v>28</v>
      </c>
      <c r="M12" s="17">
        <f t="shared" si="0"/>
        <v>0</v>
      </c>
      <c r="N12" s="7"/>
    </row>
    <row r="13" spans="1:14" ht="22.8">
      <c r="A13" s="12">
        <v>8</v>
      </c>
      <c r="B13" s="51" t="s">
        <v>199</v>
      </c>
      <c r="C13" s="13" t="s">
        <v>44</v>
      </c>
      <c r="D13" s="13" t="s">
        <v>58</v>
      </c>
      <c r="E13" s="6" t="s">
        <v>59</v>
      </c>
      <c r="F13" s="20">
        <v>46220</v>
      </c>
      <c r="G13" s="20">
        <v>46222</v>
      </c>
      <c r="H13" s="13" t="s">
        <v>60</v>
      </c>
      <c r="I13" s="6" t="s">
        <v>61</v>
      </c>
      <c r="J13" s="6" t="s">
        <v>62</v>
      </c>
      <c r="K13" s="13" t="s">
        <v>42</v>
      </c>
      <c r="L13" s="13" t="s">
        <v>28</v>
      </c>
      <c r="M13" s="17">
        <f t="shared" si="0"/>
        <v>0</v>
      </c>
      <c r="N13" s="7"/>
    </row>
    <row r="14" spans="1:14" ht="22.8">
      <c r="A14" s="12">
        <v>9</v>
      </c>
      <c r="B14" s="51" t="s">
        <v>43</v>
      </c>
      <c r="C14" s="13" t="s">
        <v>63</v>
      </c>
      <c r="D14" s="13" t="s">
        <v>64</v>
      </c>
      <c r="E14" s="6" t="s">
        <v>65</v>
      </c>
      <c r="F14" s="20">
        <v>46217</v>
      </c>
      <c r="G14" s="20">
        <v>46218</v>
      </c>
      <c r="H14" s="13" t="s">
        <v>66</v>
      </c>
      <c r="I14" s="6" t="s">
        <v>67</v>
      </c>
      <c r="J14" s="6" t="s">
        <v>68</v>
      </c>
      <c r="K14" s="13" t="s">
        <v>27</v>
      </c>
      <c r="L14" s="13" t="s">
        <v>28</v>
      </c>
      <c r="M14" s="17">
        <f t="shared" si="0"/>
        <v>0</v>
      </c>
      <c r="N14" s="7"/>
    </row>
    <row r="15" spans="1:14" ht="22.8">
      <c r="A15" s="12">
        <v>10</v>
      </c>
      <c r="B15" s="13" t="s">
        <v>43</v>
      </c>
      <c r="C15" s="13" t="s">
        <v>63</v>
      </c>
      <c r="D15" s="13" t="s">
        <v>69</v>
      </c>
      <c r="E15" s="6" t="s">
        <v>70</v>
      </c>
      <c r="F15" s="20">
        <v>46218</v>
      </c>
      <c r="G15" s="20">
        <v>46220</v>
      </c>
      <c r="H15" s="13" t="s">
        <v>20</v>
      </c>
      <c r="I15" s="6" t="s">
        <v>71</v>
      </c>
      <c r="J15" s="6" t="s">
        <v>72</v>
      </c>
      <c r="K15" s="13" t="s">
        <v>27</v>
      </c>
      <c r="L15" s="13" t="s">
        <v>28</v>
      </c>
      <c r="M15" s="17">
        <f t="shared" si="0"/>
        <v>0</v>
      </c>
      <c r="N15" s="7"/>
    </row>
    <row r="16" spans="1:14" ht="22.8">
      <c r="A16" s="12">
        <v>11</v>
      </c>
      <c r="B16" s="13" t="s">
        <v>43</v>
      </c>
      <c r="C16" s="13" t="s">
        <v>63</v>
      </c>
      <c r="D16" s="13" t="s">
        <v>73</v>
      </c>
      <c r="E16" s="6" t="s">
        <v>74</v>
      </c>
      <c r="F16" s="20">
        <v>46218</v>
      </c>
      <c r="G16" s="20">
        <v>46221</v>
      </c>
      <c r="H16" s="13" t="s">
        <v>43</v>
      </c>
      <c r="I16" s="6" t="s">
        <v>75</v>
      </c>
      <c r="J16" s="6" t="s">
        <v>76</v>
      </c>
      <c r="K16" s="13" t="s">
        <v>27</v>
      </c>
      <c r="L16" s="13" t="s">
        <v>28</v>
      </c>
      <c r="M16" s="17">
        <f t="shared" si="0"/>
        <v>0</v>
      </c>
      <c r="N16" s="7"/>
    </row>
    <row r="17" spans="1:14" ht="22.8">
      <c r="A17" s="12">
        <v>12</v>
      </c>
      <c r="B17" s="13" t="s">
        <v>43</v>
      </c>
      <c r="C17" s="13" t="s">
        <v>63</v>
      </c>
      <c r="D17" s="13" t="s">
        <v>77</v>
      </c>
      <c r="E17" s="6" t="s">
        <v>78</v>
      </c>
      <c r="F17" s="20">
        <v>46220</v>
      </c>
      <c r="G17" s="20">
        <v>46222</v>
      </c>
      <c r="H17" s="13" t="s">
        <v>79</v>
      </c>
      <c r="I17" s="6" t="s">
        <v>80</v>
      </c>
      <c r="J17" s="6" t="s">
        <v>81</v>
      </c>
      <c r="K17" s="13" t="s">
        <v>42</v>
      </c>
      <c r="L17" s="13" t="s">
        <v>28</v>
      </c>
      <c r="M17" s="17">
        <f t="shared" si="0"/>
        <v>0</v>
      </c>
      <c r="N17" s="7"/>
    </row>
    <row r="18" spans="1:14" ht="22.8">
      <c r="A18" s="12">
        <v>13</v>
      </c>
      <c r="B18" s="13" t="s">
        <v>79</v>
      </c>
      <c r="C18" s="13" t="s">
        <v>82</v>
      </c>
      <c r="D18" s="13" t="s">
        <v>83</v>
      </c>
      <c r="E18" s="6" t="s">
        <v>84</v>
      </c>
      <c r="F18" s="20">
        <v>46217</v>
      </c>
      <c r="G18" s="20">
        <v>46220</v>
      </c>
      <c r="H18" s="13" t="s">
        <v>20</v>
      </c>
      <c r="I18" s="6" t="s">
        <v>85</v>
      </c>
      <c r="J18" s="6" t="s">
        <v>86</v>
      </c>
      <c r="K18" s="13" t="s">
        <v>27</v>
      </c>
      <c r="L18" s="13" t="s">
        <v>28</v>
      </c>
      <c r="M18" s="17">
        <f t="shared" si="0"/>
        <v>0</v>
      </c>
      <c r="N18" s="7"/>
    </row>
    <row r="19" spans="1:14" ht="22.8">
      <c r="A19" s="12">
        <v>14</v>
      </c>
      <c r="B19" s="13" t="s">
        <v>79</v>
      </c>
      <c r="C19" s="13" t="s">
        <v>82</v>
      </c>
      <c r="D19" s="13" t="s">
        <v>87</v>
      </c>
      <c r="E19" s="6" t="s">
        <v>88</v>
      </c>
      <c r="F19" s="20">
        <v>46218</v>
      </c>
      <c r="G19" s="20">
        <v>46221</v>
      </c>
      <c r="H19" s="13" t="s">
        <v>66</v>
      </c>
      <c r="I19" s="6" t="s">
        <v>89</v>
      </c>
      <c r="J19" s="6" t="s">
        <v>90</v>
      </c>
      <c r="K19" s="13" t="s">
        <v>42</v>
      </c>
      <c r="L19" s="13" t="s">
        <v>28</v>
      </c>
      <c r="M19" s="17">
        <f t="shared" si="0"/>
        <v>0</v>
      </c>
      <c r="N19" s="7"/>
    </row>
    <row r="20" spans="1:14" ht="22.8">
      <c r="A20" s="12">
        <v>15</v>
      </c>
      <c r="B20" s="13" t="s">
        <v>79</v>
      </c>
      <c r="C20" s="13" t="s">
        <v>82</v>
      </c>
      <c r="D20" s="13" t="s">
        <v>91</v>
      </c>
      <c r="E20" s="6" t="s">
        <v>92</v>
      </c>
      <c r="F20" s="20">
        <v>46219</v>
      </c>
      <c r="G20" s="20">
        <v>46223</v>
      </c>
      <c r="H20" s="13" t="s">
        <v>93</v>
      </c>
      <c r="I20" s="6" t="s">
        <v>94</v>
      </c>
      <c r="J20" s="6" t="s">
        <v>95</v>
      </c>
      <c r="K20" s="13" t="s">
        <v>27</v>
      </c>
      <c r="L20" s="13" t="s">
        <v>28</v>
      </c>
      <c r="M20" s="17">
        <f t="shared" si="0"/>
        <v>0</v>
      </c>
      <c r="N20" s="7"/>
    </row>
    <row r="21" spans="1:14" ht="22.8">
      <c r="A21" s="12">
        <v>16</v>
      </c>
      <c r="B21" s="13" t="s">
        <v>66</v>
      </c>
      <c r="C21" s="13" t="s">
        <v>96</v>
      </c>
      <c r="D21" s="13" t="s">
        <v>97</v>
      </c>
      <c r="E21" s="6" t="s">
        <v>98</v>
      </c>
      <c r="F21" s="20">
        <v>46217</v>
      </c>
      <c r="G21" s="20">
        <v>46221</v>
      </c>
      <c r="H21" s="13" t="s">
        <v>20</v>
      </c>
      <c r="I21" s="6" t="s">
        <v>99</v>
      </c>
      <c r="J21" s="6" t="s">
        <v>100</v>
      </c>
      <c r="K21" s="13" t="s">
        <v>27</v>
      </c>
      <c r="L21" s="13" t="s">
        <v>28</v>
      </c>
      <c r="M21" s="17">
        <f t="shared" si="0"/>
        <v>0</v>
      </c>
      <c r="N21" s="7"/>
    </row>
    <row r="22" spans="1:14" ht="22.8">
      <c r="A22" s="12">
        <v>17</v>
      </c>
      <c r="B22" s="13" t="s">
        <v>66</v>
      </c>
      <c r="C22" s="13" t="s">
        <v>96</v>
      </c>
      <c r="D22" s="13" t="s">
        <v>101</v>
      </c>
      <c r="E22" s="6" t="s">
        <v>102</v>
      </c>
      <c r="F22" s="20">
        <v>46218</v>
      </c>
      <c r="G22" s="20">
        <v>46221</v>
      </c>
      <c r="H22" s="13" t="s">
        <v>79</v>
      </c>
      <c r="I22" s="6" t="s">
        <v>103</v>
      </c>
      <c r="J22" s="6" t="s">
        <v>104</v>
      </c>
      <c r="K22" s="13" t="s">
        <v>27</v>
      </c>
      <c r="L22" s="13" t="s">
        <v>28</v>
      </c>
      <c r="M22" s="17">
        <f t="shared" si="0"/>
        <v>0</v>
      </c>
      <c r="N22" s="7"/>
    </row>
    <row r="23" spans="1:14" ht="22.8">
      <c r="A23" s="12">
        <v>18</v>
      </c>
      <c r="B23" s="13" t="s">
        <v>66</v>
      </c>
      <c r="C23" s="13" t="s">
        <v>96</v>
      </c>
      <c r="D23" s="13" t="s">
        <v>105</v>
      </c>
      <c r="E23" s="6" t="s">
        <v>106</v>
      </c>
      <c r="F23" s="20">
        <v>46218</v>
      </c>
      <c r="G23" s="20">
        <v>46223</v>
      </c>
      <c r="H23" s="13" t="s">
        <v>107</v>
      </c>
      <c r="I23" s="6" t="s">
        <v>108</v>
      </c>
      <c r="J23" s="6" t="s">
        <v>109</v>
      </c>
      <c r="K23" s="13" t="s">
        <v>27</v>
      </c>
      <c r="L23" s="13" t="s">
        <v>28</v>
      </c>
      <c r="M23" s="17">
        <f t="shared" si="0"/>
        <v>0</v>
      </c>
      <c r="N23" s="7"/>
    </row>
    <row r="24" spans="1:14" ht="22.8">
      <c r="A24" s="14">
        <v>19</v>
      </c>
      <c r="B24" s="15" t="s">
        <v>66</v>
      </c>
      <c r="C24" s="15" t="s">
        <v>96</v>
      </c>
      <c r="D24" s="15" t="s">
        <v>110</v>
      </c>
      <c r="E24" s="8" t="s">
        <v>111</v>
      </c>
      <c r="F24" s="21">
        <v>46217</v>
      </c>
      <c r="G24" s="21">
        <v>46219</v>
      </c>
      <c r="H24" s="15" t="s">
        <v>24</v>
      </c>
      <c r="I24" s="8" t="s">
        <v>112</v>
      </c>
      <c r="J24" s="8" t="s">
        <v>113</v>
      </c>
      <c r="K24" s="15" t="s">
        <v>42</v>
      </c>
      <c r="L24" s="15" t="s">
        <v>28</v>
      </c>
      <c r="M24" s="18">
        <f t="shared" si="0"/>
        <v>0</v>
      </c>
      <c r="N24" s="9"/>
    </row>
  </sheetData>
  <mergeCells count="10">
    <mergeCell ref="A1:N1"/>
    <mergeCell ref="A2:N2"/>
    <mergeCell ref="J3:N3"/>
    <mergeCell ref="A4:C4"/>
    <mergeCell ref="D4:F4"/>
    <mergeCell ref="G4:I4"/>
    <mergeCell ref="J4:N4"/>
    <mergeCell ref="A3:C3"/>
    <mergeCell ref="D3:F3"/>
    <mergeCell ref="G3:I3"/>
  </mergeCells>
  <phoneticPr fontId="10" type="noConversion"/>
  <conditionalFormatting sqref="A6:N24">
    <cfRule type="expression" dxfId="8" priority="1">
      <formula>MOD(ROW(),2)=0</formula>
    </cfRule>
  </conditionalFormatting>
  <conditionalFormatting sqref="K6:K24">
    <cfRule type="expression" dxfId="7" priority="2">
      <formula>K6="P0"</formula>
    </cfRule>
  </conditionalFormatting>
  <conditionalFormatting sqref="L6:L24">
    <cfRule type="expression" dxfId="6" priority="3">
      <formula>L6="已完成"</formula>
    </cfRule>
    <cfRule type="expression" dxfId="5" priority="4">
      <formula>L6="进行中"</formula>
    </cfRule>
    <cfRule type="expression" dxfId="4" priority="5">
      <formula>L6="阻塞"</formula>
    </cfRule>
  </conditionalFormatting>
  <conditionalFormatting sqref="M6:M24">
    <cfRule type="dataBar" priority="6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{20A18763-CC85-F9EE-4A89-C78BF6B95660}</x14:id>
        </ext>
      </extLst>
    </cfRule>
  </conditionalFormatting>
  <dataValidations count="2">
    <dataValidation type="list" sqref="K6:K24" xr:uid="{00000000-0002-0000-0000-000000000000}">
      <formula1>"P0,P1,P2"</formula1>
    </dataValidation>
    <dataValidation type="list" sqref="L6:L24" xr:uid="{00000000-0002-0000-0000-000001000000}">
      <formula1>"未开始,进行中,已完成,阻塞"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A18763-CC85-F9EE-4A89-C78BF6B95660}">
            <x14:dataBar>
              <x14:cfvo type="min"/>
              <x14:cfvo type="max"/>
              <x14:negativeFillColor auto="1"/>
              <x14:axisColor auto="1"/>
            </x14:dataBar>
          </x14:cfRule>
          <xm:sqref>M6:M24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sqref="A1:H1"/>
    </sheetView>
  </sheetViews>
  <sheetFormatPr defaultRowHeight="13.8"/>
  <cols>
    <col min="1" max="1" width="12" customWidth="1"/>
    <col min="2" max="2" width="18" customWidth="1"/>
    <col min="3" max="7" width="26" customWidth="1"/>
    <col min="8" max="8" width="28" customWidth="1"/>
  </cols>
  <sheetData>
    <row r="1" spans="1:8" ht="25.65" customHeight="1">
      <c r="A1" s="47" t="s">
        <v>114</v>
      </c>
      <c r="B1" s="47"/>
      <c r="C1" s="47"/>
      <c r="D1" s="47"/>
      <c r="E1" s="47"/>
      <c r="F1" s="47"/>
      <c r="G1" s="47"/>
      <c r="H1" s="47"/>
    </row>
    <row r="2" spans="1:8" ht="22.35" customHeight="1">
      <c r="A2" s="22" t="s">
        <v>115</v>
      </c>
      <c r="B2" s="22" t="s">
        <v>116</v>
      </c>
      <c r="C2" s="22" t="s">
        <v>20</v>
      </c>
      <c r="D2" s="22" t="s">
        <v>43</v>
      </c>
      <c r="E2" s="22" t="s">
        <v>55</v>
      </c>
      <c r="F2" s="22" t="s">
        <v>79</v>
      </c>
      <c r="G2" s="22" t="s">
        <v>66</v>
      </c>
      <c r="H2" s="22" t="s">
        <v>117</v>
      </c>
    </row>
    <row r="3" spans="1:8" ht="22.8">
      <c r="A3" s="25">
        <v>46217</v>
      </c>
      <c r="B3" s="26" t="s">
        <v>118</v>
      </c>
      <c r="C3" s="27" t="s">
        <v>119</v>
      </c>
      <c r="D3" s="27" t="s">
        <v>120</v>
      </c>
      <c r="E3" s="27" t="s">
        <v>121</v>
      </c>
      <c r="F3" s="27" t="s">
        <v>122</v>
      </c>
      <c r="G3" s="27" t="s">
        <v>123</v>
      </c>
      <c r="H3" s="28" t="s">
        <v>124</v>
      </c>
    </row>
    <row r="4" spans="1:8" ht="22.8">
      <c r="A4" s="23">
        <v>46218</v>
      </c>
      <c r="B4" s="13" t="s">
        <v>125</v>
      </c>
      <c r="C4" s="6" t="s">
        <v>126</v>
      </c>
      <c r="D4" s="6" t="s">
        <v>127</v>
      </c>
      <c r="E4" s="6" t="s">
        <v>128</v>
      </c>
      <c r="F4" s="6" t="s">
        <v>129</v>
      </c>
      <c r="G4" s="6" t="s">
        <v>130</v>
      </c>
      <c r="H4" s="24" t="s">
        <v>131</v>
      </c>
    </row>
    <row r="5" spans="1:8" ht="22.8">
      <c r="A5" s="29">
        <v>46219</v>
      </c>
      <c r="B5" s="30" t="s">
        <v>132</v>
      </c>
      <c r="C5" s="31" t="s">
        <v>133</v>
      </c>
      <c r="D5" s="31" t="s">
        <v>134</v>
      </c>
      <c r="E5" s="31" t="s">
        <v>135</v>
      </c>
      <c r="F5" s="31" t="s">
        <v>136</v>
      </c>
      <c r="G5" s="31" t="s">
        <v>137</v>
      </c>
      <c r="H5" s="32" t="s">
        <v>138</v>
      </c>
    </row>
    <row r="6" spans="1:8" ht="22.8">
      <c r="A6" s="23">
        <v>46220</v>
      </c>
      <c r="B6" s="13" t="s">
        <v>139</v>
      </c>
      <c r="C6" s="6" t="s">
        <v>140</v>
      </c>
      <c r="D6" s="6" t="s">
        <v>141</v>
      </c>
      <c r="E6" s="6" t="s">
        <v>142</v>
      </c>
      <c r="F6" s="6" t="s">
        <v>143</v>
      </c>
      <c r="G6" s="6" t="s">
        <v>144</v>
      </c>
      <c r="H6" s="24" t="s">
        <v>145</v>
      </c>
    </row>
    <row r="7" spans="1:8">
      <c r="A7" s="29">
        <v>46221</v>
      </c>
      <c r="B7" s="30" t="s">
        <v>146</v>
      </c>
      <c r="C7" s="31" t="s">
        <v>147</v>
      </c>
      <c r="D7" s="31" t="s">
        <v>148</v>
      </c>
      <c r="E7" s="31" t="s">
        <v>149</v>
      </c>
      <c r="F7" s="31" t="s">
        <v>150</v>
      </c>
      <c r="G7" s="31" t="s">
        <v>151</v>
      </c>
      <c r="H7" s="32" t="s">
        <v>152</v>
      </c>
    </row>
    <row r="8" spans="1:8">
      <c r="A8" s="23">
        <v>46222</v>
      </c>
      <c r="B8" s="13" t="s">
        <v>153</v>
      </c>
      <c r="C8" s="6" t="s">
        <v>154</v>
      </c>
      <c r="D8" s="6" t="s">
        <v>155</v>
      </c>
      <c r="E8" s="6" t="s">
        <v>156</v>
      </c>
      <c r="F8" s="6" t="s">
        <v>157</v>
      </c>
      <c r="G8" s="6" t="s">
        <v>158</v>
      </c>
      <c r="H8" s="24" t="s">
        <v>159</v>
      </c>
    </row>
    <row r="9" spans="1:8" ht="22.8">
      <c r="A9" s="33">
        <v>46223</v>
      </c>
      <c r="B9" s="34" t="s">
        <v>160</v>
      </c>
      <c r="C9" s="35" t="s">
        <v>161</v>
      </c>
      <c r="D9" s="35" t="s">
        <v>162</v>
      </c>
      <c r="E9" s="35" t="s">
        <v>163</v>
      </c>
      <c r="F9" s="35" t="s">
        <v>164</v>
      </c>
      <c r="G9" s="35" t="s">
        <v>165</v>
      </c>
      <c r="H9" s="36" t="s">
        <v>166</v>
      </c>
    </row>
  </sheetData>
  <mergeCells count="1">
    <mergeCell ref="A1:H1"/>
  </mergeCells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tabSelected="1" workbookViewId="0">
      <selection activeCell="J10" sqref="J10"/>
    </sheetView>
  </sheetViews>
  <sheetFormatPr defaultRowHeight="13.8"/>
  <cols>
    <col min="1" max="1" width="6" customWidth="1"/>
    <col min="2" max="2" width="30" customWidth="1"/>
    <col min="3" max="3" width="14" customWidth="1"/>
    <col min="4" max="4" width="12" customWidth="1"/>
    <col min="5" max="5" width="38" customWidth="1"/>
    <col min="6" max="6" width="9" customWidth="1"/>
    <col min="7" max="7" width="10" customWidth="1"/>
    <col min="8" max="8" width="20" customWidth="1"/>
  </cols>
  <sheetData>
    <row r="1" spans="1:8" ht="25.65" customHeight="1">
      <c r="A1" s="47" t="s">
        <v>167</v>
      </c>
      <c r="B1" s="47"/>
      <c r="C1" s="47"/>
      <c r="D1" s="47"/>
      <c r="E1" s="47"/>
      <c r="F1" s="47"/>
      <c r="G1" s="47"/>
      <c r="H1" s="47"/>
    </row>
    <row r="2" spans="1:8" ht="22.35" customHeight="1">
      <c r="A2" s="37" t="s">
        <v>6</v>
      </c>
      <c r="B2" s="37" t="s">
        <v>14</v>
      </c>
      <c r="C2" s="37" t="s">
        <v>7</v>
      </c>
      <c r="D2" s="37" t="s">
        <v>12</v>
      </c>
      <c r="E2" s="37" t="s">
        <v>168</v>
      </c>
      <c r="F2" s="37" t="s">
        <v>16</v>
      </c>
      <c r="G2" s="37" t="s">
        <v>17</v>
      </c>
      <c r="H2" s="37" t="s">
        <v>19</v>
      </c>
    </row>
    <row r="3" spans="1:8">
      <c r="A3" s="10">
        <v>1</v>
      </c>
      <c r="B3" s="11" t="s">
        <v>169</v>
      </c>
      <c r="C3" s="11" t="s">
        <v>20</v>
      </c>
      <c r="D3" s="19">
        <v>46217</v>
      </c>
      <c r="E3" s="4" t="s">
        <v>170</v>
      </c>
      <c r="F3" s="11" t="s">
        <v>27</v>
      </c>
      <c r="G3" s="11" t="s">
        <v>28</v>
      </c>
      <c r="H3" s="5"/>
    </row>
    <row r="4" spans="1:8">
      <c r="A4" s="12">
        <v>2</v>
      </c>
      <c r="B4" s="13" t="s">
        <v>171</v>
      </c>
      <c r="C4" s="13" t="s">
        <v>20</v>
      </c>
      <c r="D4" s="20">
        <v>46219</v>
      </c>
      <c r="E4" s="6" t="s">
        <v>172</v>
      </c>
      <c r="F4" s="13" t="s">
        <v>27</v>
      </c>
      <c r="G4" s="13" t="s">
        <v>28</v>
      </c>
      <c r="H4" s="7"/>
    </row>
    <row r="5" spans="1:8">
      <c r="A5" s="12">
        <v>3</v>
      </c>
      <c r="B5" s="13" t="s">
        <v>173</v>
      </c>
      <c r="C5" s="13" t="s">
        <v>199</v>
      </c>
      <c r="D5" s="20">
        <v>46220</v>
      </c>
      <c r="E5" s="6" t="s">
        <v>174</v>
      </c>
      <c r="F5" s="13" t="s">
        <v>27</v>
      </c>
      <c r="G5" s="13" t="s">
        <v>28</v>
      </c>
      <c r="H5" s="7"/>
    </row>
    <row r="6" spans="1:8">
      <c r="A6" s="12">
        <v>4</v>
      </c>
      <c r="B6" s="13" t="s">
        <v>51</v>
      </c>
      <c r="C6" s="13" t="s">
        <v>199</v>
      </c>
      <c r="D6" s="20">
        <v>46218</v>
      </c>
      <c r="E6" s="6" t="s">
        <v>175</v>
      </c>
      <c r="F6" s="13" t="s">
        <v>27</v>
      </c>
      <c r="G6" s="13" t="s">
        <v>28</v>
      </c>
      <c r="H6" s="7"/>
    </row>
    <row r="7" spans="1:8">
      <c r="A7" s="12">
        <v>5</v>
      </c>
      <c r="B7" s="13" t="s">
        <v>176</v>
      </c>
      <c r="C7" s="13" t="s">
        <v>201</v>
      </c>
      <c r="D7" s="20">
        <v>46218</v>
      </c>
      <c r="E7" s="6" t="s">
        <v>177</v>
      </c>
      <c r="F7" s="13" t="s">
        <v>27</v>
      </c>
      <c r="G7" s="13" t="s">
        <v>28</v>
      </c>
      <c r="H7" s="7"/>
    </row>
    <row r="8" spans="1:8">
      <c r="A8" s="12">
        <v>6</v>
      </c>
      <c r="B8" s="13" t="s">
        <v>178</v>
      </c>
      <c r="C8" s="13" t="s">
        <v>201</v>
      </c>
      <c r="D8" s="20">
        <v>46220</v>
      </c>
      <c r="E8" s="6" t="s">
        <v>179</v>
      </c>
      <c r="F8" s="13" t="s">
        <v>27</v>
      </c>
      <c r="G8" s="13" t="s">
        <v>28</v>
      </c>
      <c r="H8" s="7"/>
    </row>
    <row r="9" spans="1:8">
      <c r="A9" s="12">
        <v>7</v>
      </c>
      <c r="B9" s="13" t="s">
        <v>180</v>
      </c>
      <c r="C9" s="13" t="s">
        <v>201</v>
      </c>
      <c r="D9" s="20">
        <v>46221</v>
      </c>
      <c r="E9" s="6" t="s">
        <v>181</v>
      </c>
      <c r="F9" s="13" t="s">
        <v>27</v>
      </c>
      <c r="G9" s="13" t="s">
        <v>28</v>
      </c>
      <c r="H9" s="7"/>
    </row>
    <row r="10" spans="1:8">
      <c r="A10" s="12">
        <v>8</v>
      </c>
      <c r="B10" s="13" t="s">
        <v>85</v>
      </c>
      <c r="C10" s="13" t="s">
        <v>79</v>
      </c>
      <c r="D10" s="20">
        <v>46220</v>
      </c>
      <c r="E10" s="6" t="s">
        <v>182</v>
      </c>
      <c r="F10" s="13" t="s">
        <v>27</v>
      </c>
      <c r="G10" s="13" t="s">
        <v>28</v>
      </c>
      <c r="H10" s="7"/>
    </row>
    <row r="11" spans="1:8">
      <c r="A11" s="12">
        <v>9</v>
      </c>
      <c r="B11" s="13" t="s">
        <v>183</v>
      </c>
      <c r="C11" s="13" t="s">
        <v>79</v>
      </c>
      <c r="D11" s="20">
        <v>46221</v>
      </c>
      <c r="E11" s="6" t="s">
        <v>184</v>
      </c>
      <c r="F11" s="13" t="s">
        <v>42</v>
      </c>
      <c r="G11" s="13" t="s">
        <v>28</v>
      </c>
      <c r="H11" s="7"/>
    </row>
    <row r="12" spans="1:8">
      <c r="A12" s="12">
        <v>10</v>
      </c>
      <c r="B12" s="13" t="s">
        <v>185</v>
      </c>
      <c r="C12" s="13" t="s">
        <v>79</v>
      </c>
      <c r="D12" s="20">
        <v>46223</v>
      </c>
      <c r="E12" s="6" t="s">
        <v>186</v>
      </c>
      <c r="F12" s="13" t="s">
        <v>27</v>
      </c>
      <c r="G12" s="13" t="s">
        <v>28</v>
      </c>
      <c r="H12" s="7"/>
    </row>
    <row r="13" spans="1:8" ht="22.8">
      <c r="A13" s="12">
        <v>11</v>
      </c>
      <c r="B13" s="13" t="s">
        <v>187</v>
      </c>
      <c r="C13" s="13" t="s">
        <v>66</v>
      </c>
      <c r="D13" s="20">
        <v>46221</v>
      </c>
      <c r="E13" s="6" t="s">
        <v>188</v>
      </c>
      <c r="F13" s="13" t="s">
        <v>27</v>
      </c>
      <c r="G13" s="13" t="s">
        <v>28</v>
      </c>
      <c r="H13" s="7"/>
    </row>
    <row r="14" spans="1:8">
      <c r="A14" s="12">
        <v>12</v>
      </c>
      <c r="B14" s="13" t="s">
        <v>103</v>
      </c>
      <c r="C14" s="13" t="s">
        <v>66</v>
      </c>
      <c r="D14" s="20">
        <v>46221</v>
      </c>
      <c r="E14" s="6" t="s">
        <v>189</v>
      </c>
      <c r="F14" s="13" t="s">
        <v>27</v>
      </c>
      <c r="G14" s="13" t="s">
        <v>28</v>
      </c>
      <c r="H14" s="7"/>
    </row>
    <row r="15" spans="1:8">
      <c r="A15" s="12">
        <v>13</v>
      </c>
      <c r="B15" s="13" t="s">
        <v>190</v>
      </c>
      <c r="C15" s="13" t="s">
        <v>66</v>
      </c>
      <c r="D15" s="20">
        <v>46223</v>
      </c>
      <c r="E15" s="6" t="s">
        <v>191</v>
      </c>
      <c r="F15" s="13" t="s">
        <v>27</v>
      </c>
      <c r="G15" s="13" t="s">
        <v>28</v>
      </c>
      <c r="H15" s="7"/>
    </row>
    <row r="16" spans="1:8">
      <c r="A16" s="12">
        <v>14</v>
      </c>
      <c r="B16" s="13" t="s">
        <v>192</v>
      </c>
      <c r="C16" s="13" t="s">
        <v>31</v>
      </c>
      <c r="D16" s="20">
        <v>46222</v>
      </c>
      <c r="E16" s="6" t="s">
        <v>193</v>
      </c>
      <c r="F16" s="13" t="s">
        <v>42</v>
      </c>
      <c r="G16" s="13" t="s">
        <v>28</v>
      </c>
      <c r="H16" s="7"/>
    </row>
    <row r="17" spans="1:8">
      <c r="A17" s="14">
        <v>15</v>
      </c>
      <c r="B17" s="15" t="s">
        <v>194</v>
      </c>
      <c r="C17" s="15" t="s">
        <v>20</v>
      </c>
      <c r="D17" s="21">
        <v>46223</v>
      </c>
      <c r="E17" s="8" t="s">
        <v>195</v>
      </c>
      <c r="F17" s="15" t="s">
        <v>27</v>
      </c>
      <c r="G17" s="15" t="s">
        <v>28</v>
      </c>
      <c r="H17" s="9"/>
    </row>
    <row r="19" spans="1:8">
      <c r="A19" s="48" t="s">
        <v>196</v>
      </c>
      <c r="B19" s="48"/>
      <c r="C19" s="48" t="s">
        <v>197</v>
      </c>
      <c r="D19" s="48"/>
      <c r="E19" s="48" t="s">
        <v>4</v>
      </c>
      <c r="F19" s="48"/>
      <c r="G19" s="48" t="s">
        <v>198</v>
      </c>
      <c r="H19" s="48"/>
    </row>
    <row r="20" spans="1:8" ht="17.399999999999999">
      <c r="A20" s="49">
        <f>COUNTA(A3:A17)</f>
        <v>15</v>
      </c>
      <c r="B20" s="49"/>
      <c r="C20" s="49">
        <f>COUNTIF(F3:F17,"P0")</f>
        <v>13</v>
      </c>
      <c r="D20" s="49"/>
      <c r="E20" s="49">
        <f>COUNTIF(G3:G17,"已完成")</f>
        <v>0</v>
      </c>
      <c r="F20" s="49"/>
      <c r="G20" s="50">
        <f>COUNTIF(G3:G17,"已完成")/COUNTA(A3:A17)</f>
        <v>0</v>
      </c>
      <c r="H20" s="50"/>
    </row>
  </sheetData>
  <mergeCells count="9">
    <mergeCell ref="A20:B20"/>
    <mergeCell ref="C20:D20"/>
    <mergeCell ref="E20:F20"/>
    <mergeCell ref="G20:H20"/>
    <mergeCell ref="A1:H1"/>
    <mergeCell ref="A19:B19"/>
    <mergeCell ref="C19:D19"/>
    <mergeCell ref="E19:F19"/>
    <mergeCell ref="G19:H19"/>
  </mergeCells>
  <phoneticPr fontId="10" type="noConversion"/>
  <conditionalFormatting sqref="F3:F17">
    <cfRule type="expression" dxfId="3" priority="1">
      <formula>F3="P0"</formula>
    </cfRule>
  </conditionalFormatting>
  <conditionalFormatting sqref="G3:G17">
    <cfRule type="expression" dxfId="2" priority="2">
      <formula>G3="已完成"</formula>
    </cfRule>
    <cfRule type="expression" dxfId="1" priority="3">
      <formula>G3="进行中"</formula>
    </cfRule>
    <cfRule type="expression" dxfId="0" priority="4">
      <formula>G3="阻塞"</formula>
    </cfRule>
  </conditionalFormatting>
  <dataValidations count="2">
    <dataValidation type="list" sqref="F3:F17" xr:uid="{00000000-0002-0000-0200-000000000000}">
      <formula1>"P0,P1,P2"</formula1>
    </dataValidation>
    <dataValidation type="list" sqref="G3:G17" xr:uid="{00000000-0002-0000-0200-000001000000}">
      <formula1>"未开始,进行中,已完成,阻塞"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周任务总表</vt:lpstr>
      <vt:lpstr>每日推进计划</vt:lpstr>
      <vt:lpstr>周验收清单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陈伦禄</cp:lastModifiedBy>
  <dcterms:modified xsi:type="dcterms:W3CDTF">2026-07-21T11:29:03Z</dcterms:modified>
</cp:coreProperties>
</file>